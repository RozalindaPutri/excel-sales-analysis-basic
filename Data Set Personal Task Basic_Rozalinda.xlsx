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dbbcb748666240d/myskill/personal task excel/"/>
    </mc:Choice>
  </mc:AlternateContent>
  <xr:revisionPtr revIDLastSave="4" documentId="8_{A30DC075-2F35-4F36-A98E-5260A982C379}" xr6:coauthVersionLast="47" xr6:coauthVersionMax="47" xr10:uidLastSave="{21789A83-17B2-431E-9528-1C3029100EAE}"/>
  <bookViews>
    <workbookView xWindow="-110" yWindow="-110" windowWidth="19420" windowHeight="11500" activeTab="2" xr2:uid="{00000000-000D-0000-FFFF-FFFF00000000}"/>
  </bookViews>
  <sheets>
    <sheet name="Instruction" sheetId="4" r:id="rId1"/>
    <sheet name="Description" sheetId="1" r:id="rId2"/>
    <sheet name="Main Data" sheetId="2" r:id="rId3"/>
    <sheet name="Questions" sheetId="8" r:id="rId4"/>
    <sheet name="Answer" sheetId="5" state="veryHidden" r:id="rId5"/>
  </sheets>
  <definedNames>
    <definedName name="_xlnm._FilterDatabase" localSheetId="2" hidden="1">'Main Data'!$A$1:$X$1003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e+TYqaMhhegJSi8hdYNopTWdk8f6NhKCl9G95t/NShs="/>
    </ext>
  </extLst>
</workbook>
</file>

<file path=xl/calcChain.xml><?xml version="1.0" encoding="utf-8"?>
<calcChain xmlns="http://schemas.openxmlformats.org/spreadsheetml/2006/main">
  <c r="W23" i="2" l="1"/>
  <c r="W24" i="2"/>
  <c r="X10" i="8" a="1"/>
  <c r="X10" i="8" s="1"/>
  <c r="F5" i="2" a="1"/>
  <c r="F5" i="2" s="1"/>
  <c r="F6" i="2" a="1"/>
  <c r="F6" i="2" s="1"/>
  <c r="F7" i="2" a="1"/>
  <c r="F7" i="2" s="1"/>
  <c r="F8" i="2" a="1"/>
  <c r="F8" i="2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/>
  <c r="F26" i="2" a="1"/>
  <c r="F26" i="2"/>
  <c r="F27" i="2" a="1"/>
  <c r="F27" i="2" s="1"/>
  <c r="F28" i="2" a="1"/>
  <c r="F28" i="2" s="1"/>
  <c r="F29" i="2" a="1"/>
  <c r="F29" i="2" s="1"/>
  <c r="F30" i="2" a="1"/>
  <c r="F30" i="2" s="1"/>
  <c r="F31" i="2" a="1"/>
  <c r="F31" i="2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/>
  <c r="F38" i="2" a="1"/>
  <c r="F38" i="2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/>
  <c r="F52" i="2" a="1"/>
  <c r="F52" i="2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/>
  <c r="F62" i="2" a="1"/>
  <c r="F62" i="2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/>
  <c r="F104" i="2" a="1"/>
  <c r="F104" i="2"/>
  <c r="F105" i="2" a="1"/>
  <c r="F105" i="2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/>
  <c r="F124" i="2" a="1"/>
  <c r="F124" i="2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/>
  <c r="F146" i="2" a="1"/>
  <c r="F146" i="2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/>
  <c r="F167" i="2" a="1"/>
  <c r="F167" i="2" s="1"/>
  <c r="F168" i="2" a="1"/>
  <c r="F168" i="2" s="1"/>
  <c r="F169" i="2" a="1"/>
  <c r="F169" i="2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/>
  <c r="F176" i="2" a="1"/>
  <c r="F176" i="2" s="1"/>
  <c r="A176" i="2" s="1"/>
  <c r="F177" i="2" a="1"/>
  <c r="F177" i="2" s="1"/>
  <c r="A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/>
  <c r="F185" i="2" a="1"/>
  <c r="F185" i="2" s="1"/>
  <c r="F186" i="2" a="1"/>
  <c r="F186" i="2" s="1"/>
  <c r="A186" i="2" s="1"/>
  <c r="F187" i="2" a="1"/>
  <c r="F187" i="2" s="1"/>
  <c r="A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/>
  <c r="F196" i="2" a="1"/>
  <c r="F196" i="2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/>
  <c r="F203" i="2" a="1"/>
  <c r="F203" i="2" s="1"/>
  <c r="F204" i="2" a="1"/>
  <c r="F204" i="2" s="1"/>
  <c r="F205" i="2" a="1"/>
  <c r="F205" i="2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/>
  <c r="F213" i="2" a="1"/>
  <c r="F213" i="2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/>
  <c r="F232" i="2" a="1"/>
  <c r="F232" i="2" s="1"/>
  <c r="F233" i="2" a="1"/>
  <c r="F233" i="2" s="1"/>
  <c r="F234" i="2" a="1"/>
  <c r="F234" i="2" s="1"/>
  <c r="F235" i="2" a="1"/>
  <c r="F235" i="2"/>
  <c r="F236" i="2" a="1"/>
  <c r="F236" i="2" s="1"/>
  <c r="F237" i="2" a="1"/>
  <c r="F237" i="2" s="1"/>
  <c r="F238" i="2" a="1"/>
  <c r="F238" i="2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/>
  <c r="F248" i="2" a="1"/>
  <c r="F248" i="2" s="1"/>
  <c r="F249" i="2" a="1"/>
  <c r="F249" i="2"/>
  <c r="F250" i="2" a="1"/>
  <c r="F250" i="2" s="1"/>
  <c r="F251" i="2" a="1"/>
  <c r="F251" i="2" s="1"/>
  <c r="F252" i="2" a="1"/>
  <c r="F252" i="2" s="1"/>
  <c r="F253" i="2" a="1"/>
  <c r="F253" i="2"/>
  <c r="F254" i="2" a="1"/>
  <c r="F254" i="2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/>
  <c r="F262" i="2" a="1"/>
  <c r="F262" i="2"/>
  <c r="F263" i="2" a="1"/>
  <c r="F263" i="2" s="1"/>
  <c r="F264" i="2" a="1"/>
  <c r="F264" i="2" s="1"/>
  <c r="F265" i="2" a="1"/>
  <c r="F265" i="2" s="1"/>
  <c r="F266" i="2" a="1"/>
  <c r="F266" i="2" s="1"/>
  <c r="F267" i="2" a="1"/>
  <c r="F267" i="2"/>
  <c r="F268" i="2" a="1"/>
  <c r="F268" i="2" s="1"/>
  <c r="F269" i="2" a="1"/>
  <c r="F269" i="2" s="1"/>
  <c r="F270" i="2" a="1"/>
  <c r="F270" i="2" s="1"/>
  <c r="F271" i="2" a="1"/>
  <c r="F271" i="2"/>
  <c r="A271" i="2" s="1"/>
  <c r="F272" i="2" a="1"/>
  <c r="F272" i="2" s="1"/>
  <c r="A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/>
  <c r="F279" i="2" a="1"/>
  <c r="F279" i="2" s="1"/>
  <c r="F280" i="2" a="1"/>
  <c r="F280" i="2" s="1"/>
  <c r="F281" i="2" a="1"/>
  <c r="F281" i="2" s="1"/>
  <c r="F282" i="2" a="1"/>
  <c r="F282" i="2" s="1"/>
  <c r="F283" i="2" a="1"/>
  <c r="F283" i="2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/>
  <c r="F293" i="2" a="1"/>
  <c r="F293" i="2" s="1"/>
  <c r="F294" i="2" a="1"/>
  <c r="F294" i="2" s="1"/>
  <c r="F295" i="2" a="1"/>
  <c r="F295" i="2" s="1"/>
  <c r="F296" i="2" a="1"/>
  <c r="F296" i="2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/>
  <c r="F321" i="2" a="1"/>
  <c r="F321" i="2"/>
  <c r="F322" i="2" a="1"/>
  <c r="F322" i="2" s="1"/>
  <c r="F323" i="2" a="1"/>
  <c r="F323" i="2" s="1"/>
  <c r="F324" i="2" a="1"/>
  <c r="F324" i="2" s="1"/>
  <c r="F325" i="2" a="1"/>
  <c r="F325" i="2" s="1"/>
  <c r="F326" i="2" a="1"/>
  <c r="F326" i="2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A348" i="2" s="1"/>
  <c r="F349" i="2" a="1"/>
  <c r="F349" i="2"/>
  <c r="A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/>
  <c r="F357" i="2" a="1"/>
  <c r="F357" i="2"/>
  <c r="F358" i="2" a="1"/>
  <c r="F358" i="2" s="1"/>
  <c r="F359" i="2" a="1"/>
  <c r="F359" i="2" s="1"/>
  <c r="F360" i="2" a="1"/>
  <c r="F360" i="2" s="1"/>
  <c r="F361" i="2" a="1"/>
  <c r="F361" i="2" s="1"/>
  <c r="F362" i="2" a="1"/>
  <c r="F362" i="2"/>
  <c r="F363" i="2" a="1"/>
  <c r="F363" i="2" s="1"/>
  <c r="F364" i="2" a="1"/>
  <c r="F364" i="2"/>
  <c r="F365" i="2" a="1"/>
  <c r="F365" i="2" s="1"/>
  <c r="F366" i="2" a="1"/>
  <c r="F366" i="2" s="1"/>
  <c r="F367" i="2" a="1"/>
  <c r="F367" i="2" s="1"/>
  <c r="F368" i="2" a="1"/>
  <c r="F368" i="2" s="1"/>
  <c r="A368" i="2" s="1"/>
  <c r="F369" i="2" a="1"/>
  <c r="F369" i="2" s="1"/>
  <c r="A369" i="2" s="1"/>
  <c r="F370" i="2" a="1"/>
  <c r="F370" i="2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/>
  <c r="F377" i="2" a="1"/>
  <c r="F377" i="2" s="1"/>
  <c r="F378" i="2" a="1"/>
  <c r="F378" i="2" s="1"/>
  <c r="A378" i="2" s="1"/>
  <c r="F379" i="2" a="1"/>
  <c r="F379" i="2" s="1"/>
  <c r="F380" i="2" a="1"/>
  <c r="F380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A385" i="2" s="1"/>
  <c r="F386" i="2" a="1"/>
  <c r="F386" i="2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/>
  <c r="F393" i="2" a="1"/>
  <c r="F393" i="2"/>
  <c r="F394" i="2" a="1"/>
  <c r="F394" i="2" s="1"/>
  <c r="F395" i="2" a="1"/>
  <c r="F395" i="2" s="1"/>
  <c r="F396" i="2" a="1"/>
  <c r="F396" i="2" s="1"/>
  <c r="F397" i="2" a="1"/>
  <c r="F397" i="2" s="1"/>
  <c r="F398" i="2" a="1"/>
  <c r="F398" i="2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A427" i="2" s="1"/>
  <c r="F428" i="2" a="1"/>
  <c r="F428" i="2"/>
  <c r="F429" i="2" a="1"/>
  <c r="F429" i="2"/>
  <c r="F430" i="2" a="1"/>
  <c r="F430" i="2" s="1"/>
  <c r="F431" i="2" a="1"/>
  <c r="F431" i="2" s="1"/>
  <c r="F432" i="2" a="1"/>
  <c r="F432" i="2" s="1"/>
  <c r="F433" i="2" a="1"/>
  <c r="F433" i="2" s="1"/>
  <c r="F434" i="2" a="1"/>
  <c r="F434" i="2"/>
  <c r="F435" i="2" a="1"/>
  <c r="F435" i="2" s="1"/>
  <c r="F436" i="2" a="1"/>
  <c r="F436" i="2" s="1"/>
  <c r="A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/>
  <c r="F465" i="2" a="1"/>
  <c r="F465" i="2"/>
  <c r="F466" i="2" a="1"/>
  <c r="F466" i="2" s="1"/>
  <c r="F467" i="2" a="1"/>
  <c r="F467" i="2" s="1"/>
  <c r="F468" i="2" a="1"/>
  <c r="F468" i="2" s="1"/>
  <c r="F469" i="2" a="1"/>
  <c r="F469" i="2" s="1"/>
  <c r="F470" i="2" a="1"/>
  <c r="F470" i="2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/>
  <c r="F479" i="2" a="1"/>
  <c r="F479" i="2" s="1"/>
  <c r="F480" i="2" a="1"/>
  <c r="F480" i="2" s="1"/>
  <c r="F481" i="2" a="1"/>
  <c r="F481" i="2" s="1"/>
  <c r="F482" i="2" a="1"/>
  <c r="F482" i="2" s="1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A498" i="2" s="1"/>
  <c r="F499" i="2" a="1"/>
  <c r="F499" i="2" s="1"/>
  <c r="F500" i="2" a="1"/>
  <c r="F500" i="2"/>
  <c r="F501" i="2" a="1"/>
  <c r="F501" i="2"/>
  <c r="F502" i="2" a="1"/>
  <c r="F502" i="2" s="1"/>
  <c r="F503" i="2" a="1"/>
  <c r="F503" i="2" s="1"/>
  <c r="F504" i="2" a="1"/>
  <c r="F504" i="2" s="1"/>
  <c r="F505" i="2" a="1"/>
  <c r="F505" i="2" s="1"/>
  <c r="F506" i="2" a="1"/>
  <c r="F506" i="2"/>
  <c r="F507" i="2" a="1"/>
  <c r="F507" i="2" s="1"/>
  <c r="F508" i="2" a="1"/>
  <c r="F508" i="2" s="1"/>
  <c r="F509" i="2" a="1"/>
  <c r="F509" i="2" s="1"/>
  <c r="F510" i="2" a="1"/>
  <c r="F510" i="2" s="1"/>
  <c r="F511" i="2" a="1"/>
  <c r="F511" i="2" s="1"/>
  <c r="A511" i="2" s="1"/>
  <c r="F512" i="2" a="1"/>
  <c r="F512" i="2" s="1"/>
  <c r="A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/>
  <c r="F520" i="2" a="1"/>
  <c r="F520" i="2" s="1"/>
  <c r="F521" i="2" a="1"/>
  <c r="F521" i="2" s="1"/>
  <c r="F522" i="2" a="1"/>
  <c r="F522" i="2" s="1"/>
  <c r="F523" i="2" a="1"/>
  <c r="F523" i="2" s="1"/>
  <c r="F524" i="2" a="1"/>
  <c r="F524" i="2" s="1"/>
  <c r="F525" i="2" a="1"/>
  <c r="F525" i="2"/>
  <c r="F526" i="2" a="1"/>
  <c r="F526" i="2" s="1"/>
  <c r="F527" i="2" a="1"/>
  <c r="F527" i="2" s="1"/>
  <c r="F528" i="2" a="1"/>
  <c r="F528" i="2" s="1"/>
  <c r="F529" i="2" a="1"/>
  <c r="F529" i="2" s="1"/>
  <c r="F530" i="2" a="1"/>
  <c r="F530" i="2" s="1"/>
  <c r="F531" i="2" a="1"/>
  <c r="F531" i="2" s="1"/>
  <c r="A531" i="2" s="1"/>
  <c r="F532" i="2" a="1"/>
  <c r="F532" i="2" s="1"/>
  <c r="F533" i="2" a="1"/>
  <c r="F533" i="2" s="1"/>
  <c r="F534" i="2" a="1"/>
  <c r="F534" i="2" s="1"/>
  <c r="F535" i="2" a="1"/>
  <c r="F535" i="2" s="1"/>
  <c r="F536" i="2" a="1"/>
  <c r="F536" i="2" s="1"/>
  <c r="F537" i="2" a="1"/>
  <c r="F537" i="2" s="1"/>
  <c r="F538" i="2" a="1"/>
  <c r="F538" i="2"/>
  <c r="F539" i="2" a="1"/>
  <c r="F539" i="2" s="1"/>
  <c r="A539" i="2" s="1"/>
  <c r="F540" i="2" a="1"/>
  <c r="F540" i="2" s="1"/>
  <c r="F541" i="2" a="1"/>
  <c r="F541" i="2" s="1"/>
  <c r="F542" i="2" a="1"/>
  <c r="F542" i="2" s="1"/>
  <c r="F543" i="2" a="1"/>
  <c r="F543" i="2" s="1"/>
  <c r="F544" i="2" a="1"/>
  <c r="F544" i="2" s="1"/>
  <c r="F545" i="2" a="1"/>
  <c r="F545" i="2" s="1"/>
  <c r="F546" i="2" a="1"/>
  <c r="F546" i="2" s="1"/>
  <c r="F547" i="2" a="1"/>
  <c r="F547" i="2" s="1"/>
  <c r="F548" i="2" a="1"/>
  <c r="F548" i="2" s="1"/>
  <c r="F549" i="2" a="1"/>
  <c r="F549" i="2"/>
  <c r="F550" i="2" a="1"/>
  <c r="F550" i="2" s="1"/>
  <c r="A550" i="2" s="1"/>
  <c r="F551" i="2" a="1"/>
  <c r="F551" i="2"/>
  <c r="F552" i="2" a="1"/>
  <c r="F552" i="2" s="1"/>
  <c r="F553" i="2" a="1"/>
  <c r="F553" i="2" s="1"/>
  <c r="F554" i="2" a="1"/>
  <c r="F554" i="2" s="1"/>
  <c r="F555" i="2" a="1"/>
  <c r="F555" i="2"/>
  <c r="F556" i="2" a="1"/>
  <c r="F556" i="2"/>
  <c r="F557" i="2" a="1"/>
  <c r="F557" i="2"/>
  <c r="A557" i="2" s="1"/>
  <c r="F558" i="2" a="1"/>
  <c r="F558" i="2" s="1"/>
  <c r="F559" i="2" a="1"/>
  <c r="F559" i="2" s="1"/>
  <c r="F560" i="2" a="1"/>
  <c r="F560" i="2" s="1"/>
  <c r="F561" i="2" a="1"/>
  <c r="F561" i="2" s="1"/>
  <c r="F562" i="2" a="1"/>
  <c r="F562" i="2"/>
  <c r="F563" i="2" a="1"/>
  <c r="F563" i="2" s="1"/>
  <c r="F564" i="2" a="1"/>
  <c r="F564" i="2" s="1"/>
  <c r="F565" i="2" a="1"/>
  <c r="F565" i="2" s="1"/>
  <c r="F566" i="2" a="1"/>
  <c r="F566" i="2" s="1"/>
  <c r="F567" i="2" a="1"/>
  <c r="F567" i="2"/>
  <c r="A567" i="2" s="1"/>
  <c r="F568" i="2" a="1"/>
  <c r="F568" i="2" s="1"/>
  <c r="F569" i="2" a="1"/>
  <c r="F569" i="2" s="1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/>
  <c r="F576" i="2" a="1"/>
  <c r="F576" i="2" s="1"/>
  <c r="F577" i="2" a="1"/>
  <c r="F577" i="2" s="1"/>
  <c r="F578" i="2" a="1"/>
  <c r="F578" i="2" s="1"/>
  <c r="A578" i="2" s="1"/>
  <c r="F579" i="2" a="1"/>
  <c r="F579" i="2" s="1"/>
  <c r="F580" i="2" a="1"/>
  <c r="F580" i="2"/>
  <c r="F581" i="2" a="1"/>
  <c r="F581" i="2"/>
  <c r="F582" i="2" a="1"/>
  <c r="F582" i="2" s="1"/>
  <c r="F583" i="2" a="1"/>
  <c r="F583" i="2" s="1"/>
  <c r="F584" i="2" a="1"/>
  <c r="F584" i="2" s="1"/>
  <c r="F585" i="2" a="1"/>
  <c r="F585" i="2" s="1"/>
  <c r="F586" i="2" a="1"/>
  <c r="F586" i="2"/>
  <c r="F587" i="2" a="1"/>
  <c r="F587" i="2" s="1"/>
  <c r="A587" i="2" s="1"/>
  <c r="F588" i="2" a="1"/>
  <c r="F588" i="2" s="1"/>
  <c r="F589" i="2" a="1"/>
  <c r="F589" i="2" s="1"/>
  <c r="F590" i="2" a="1"/>
  <c r="F590" i="2" s="1"/>
  <c r="F591" i="2" a="1"/>
  <c r="F591" i="2"/>
  <c r="F592" i="2" a="1"/>
  <c r="F592" i="2" s="1"/>
  <c r="F593" i="2" a="1"/>
  <c r="F593" i="2" s="1"/>
  <c r="F594" i="2" a="1"/>
  <c r="F594" i="2" s="1"/>
  <c r="A594" i="2" s="1"/>
  <c r="F595" i="2" a="1"/>
  <c r="F595" i="2" s="1"/>
  <c r="F596" i="2" a="1"/>
  <c r="F596" i="2" s="1"/>
  <c r="F597" i="2" a="1"/>
  <c r="F597" i="2"/>
  <c r="A597" i="2" s="1"/>
  <c r="F598" i="2" a="1"/>
  <c r="F598" i="2" s="1"/>
  <c r="F599" i="2" a="1"/>
  <c r="F599" i="2" s="1"/>
  <c r="F600" i="2" a="1"/>
  <c r="F600" i="2" s="1"/>
  <c r="F601" i="2" a="1"/>
  <c r="F601" i="2" s="1"/>
  <c r="F602" i="2" a="1"/>
  <c r="F602" i="2" s="1"/>
  <c r="F603" i="2" a="1"/>
  <c r="F603" i="2"/>
  <c r="A603" i="2" s="1"/>
  <c r="F604" i="2" a="1"/>
  <c r="F604" i="2"/>
  <c r="F605" i="2" a="1"/>
  <c r="F605" i="2"/>
  <c r="F606" i="2" a="1"/>
  <c r="F606" i="2" s="1"/>
  <c r="A606" i="2" s="1"/>
  <c r="F607" i="2" a="1"/>
  <c r="F607" i="2" s="1"/>
  <c r="F608" i="2" a="1"/>
  <c r="F608" i="2" s="1"/>
  <c r="F609" i="2" a="1"/>
  <c r="F609" i="2" s="1"/>
  <c r="F610" i="2" a="1"/>
  <c r="F610" i="2"/>
  <c r="F611" i="2" a="1"/>
  <c r="F611" i="2" s="1"/>
  <c r="F612" i="2" a="1"/>
  <c r="F612" i="2" s="1"/>
  <c r="F613" i="2" a="1"/>
  <c r="F613" i="2" s="1"/>
  <c r="F614" i="2" a="1"/>
  <c r="F614" i="2" s="1"/>
  <c r="F615" i="2" a="1"/>
  <c r="F615" i="2"/>
  <c r="F616" i="2" a="1"/>
  <c r="F616" i="2" s="1"/>
  <c r="F617" i="2" a="1"/>
  <c r="F617" i="2" s="1"/>
  <c r="F618" i="2" a="1"/>
  <c r="F618" i="2" s="1"/>
  <c r="F619" i="2" a="1"/>
  <c r="F619" i="2" s="1"/>
  <c r="F620" i="2" a="1"/>
  <c r="F620" i="2" s="1"/>
  <c r="F621" i="2" a="1"/>
  <c r="F621" i="2"/>
  <c r="F622" i="2" a="1"/>
  <c r="F622" i="2"/>
  <c r="F623" i="2" a="1"/>
  <c r="F623" i="2"/>
  <c r="F624" i="2" a="1"/>
  <c r="F624" i="2" s="1"/>
  <c r="A624" i="2" s="1"/>
  <c r="F625" i="2" a="1"/>
  <c r="F625" i="2" s="1"/>
  <c r="F626" i="2" a="1"/>
  <c r="F626" i="2" s="1"/>
  <c r="F627" i="2" a="1"/>
  <c r="F627" i="2"/>
  <c r="F628" i="2" a="1"/>
  <c r="F628" i="2"/>
  <c r="F629" i="2" a="1"/>
  <c r="F629" i="2"/>
  <c r="F630" i="2" a="1"/>
  <c r="F630" i="2" s="1"/>
  <c r="F631" i="2" a="1"/>
  <c r="F631" i="2" s="1"/>
  <c r="F632" i="2" a="1"/>
  <c r="F632" i="2" s="1"/>
  <c r="F633" i="2" a="1"/>
  <c r="F633" i="2" s="1"/>
  <c r="A633" i="2" s="1"/>
  <c r="F634" i="2" a="1"/>
  <c r="F634" i="2"/>
  <c r="F635" i="2" a="1"/>
  <c r="F635" i="2" s="1"/>
  <c r="F636" i="2" a="1"/>
  <c r="F636" i="2" s="1"/>
  <c r="F637" i="2" a="1"/>
  <c r="F637" i="2" s="1"/>
  <c r="F638" i="2" a="1"/>
  <c r="F638" i="2" s="1"/>
  <c r="F639" i="2" a="1"/>
  <c r="F639" i="2"/>
  <c r="F640" i="2" a="1"/>
  <c r="F640" i="2" s="1"/>
  <c r="F641" i="2" a="1"/>
  <c r="F641" i="2" s="1"/>
  <c r="F642" i="2" a="1"/>
  <c r="F642" i="2" s="1"/>
  <c r="A642" i="2" s="1"/>
  <c r="F643" i="2" a="1"/>
  <c r="F643" i="2" s="1"/>
  <c r="F644" i="2" a="1"/>
  <c r="F644" i="2" s="1"/>
  <c r="F645" i="2" a="1"/>
  <c r="F645" i="2" s="1"/>
  <c r="F646" i="2" a="1"/>
  <c r="F646" i="2" s="1"/>
  <c r="F647" i="2" a="1"/>
  <c r="F647" i="2"/>
  <c r="F648" i="2" a="1"/>
  <c r="F648" i="2" s="1"/>
  <c r="F649" i="2" a="1"/>
  <c r="F649" i="2" s="1"/>
  <c r="F650" i="2" a="1"/>
  <c r="F650" i="2" s="1"/>
  <c r="F651" i="2" a="1"/>
  <c r="F651" i="2"/>
  <c r="A651" i="2" s="1"/>
  <c r="F652" i="2" a="1"/>
  <c r="F652" i="2"/>
  <c r="F653" i="2" a="1"/>
  <c r="F653" i="2"/>
  <c r="F654" i="2" a="1"/>
  <c r="F654" i="2" s="1"/>
  <c r="F655" i="2" a="1"/>
  <c r="F655" i="2" s="1"/>
  <c r="F656" i="2" a="1"/>
  <c r="F656" i="2" s="1"/>
  <c r="F657" i="2" a="1"/>
  <c r="F657" i="2" s="1"/>
  <c r="F658" i="2" a="1"/>
  <c r="F658" i="2"/>
  <c r="F659" i="2" a="1"/>
  <c r="F659" i="2" s="1"/>
  <c r="F660" i="2" a="1"/>
  <c r="F660" i="2" s="1"/>
  <c r="F661" i="2" a="1"/>
  <c r="F661" i="2" s="1"/>
  <c r="F662" i="2" a="1"/>
  <c r="F662" i="2" s="1"/>
  <c r="F663" i="2" a="1"/>
  <c r="F663" i="2"/>
  <c r="F664" i="2" a="1"/>
  <c r="F664" i="2" s="1"/>
  <c r="F665" i="2" a="1"/>
  <c r="F665" i="2" s="1"/>
  <c r="F666" i="2" a="1"/>
  <c r="F666" i="2" s="1"/>
  <c r="F667" i="2" a="1"/>
  <c r="F667" i="2" s="1"/>
  <c r="F668" i="2" a="1"/>
  <c r="F668" i="2" s="1"/>
  <c r="F669" i="2" a="1"/>
  <c r="F669" i="2"/>
  <c r="F670" i="2" a="1"/>
  <c r="F670" i="2" s="1"/>
  <c r="F671" i="2" a="1"/>
  <c r="F671" i="2" s="1"/>
  <c r="F672" i="2" a="1"/>
  <c r="F672" i="2" s="1"/>
  <c r="F673" i="2" a="1"/>
  <c r="F673" i="2" s="1"/>
  <c r="F674" i="2" a="1"/>
  <c r="F674" i="2" s="1"/>
  <c r="F675" i="2" a="1"/>
  <c r="F675" i="2" s="1"/>
  <c r="F676" i="2" a="1"/>
  <c r="F676" i="2"/>
  <c r="F677" i="2" a="1"/>
  <c r="F677" i="2"/>
  <c r="F678" i="2" a="1"/>
  <c r="F678" i="2" s="1"/>
  <c r="F679" i="2" a="1"/>
  <c r="F679" i="2" s="1"/>
  <c r="A679" i="2" s="1"/>
  <c r="F680" i="2" a="1"/>
  <c r="F680" i="2" s="1"/>
  <c r="F681" i="2" a="1"/>
  <c r="F681" i="2" s="1"/>
  <c r="F682" i="2" a="1"/>
  <c r="F682" i="2"/>
  <c r="F683" i="2" a="1"/>
  <c r="F683" i="2" s="1"/>
  <c r="F684" i="2" a="1"/>
  <c r="F684" i="2" s="1"/>
  <c r="F685" i="2" a="1"/>
  <c r="F685" i="2" s="1"/>
  <c r="F686" i="2" a="1"/>
  <c r="F686" i="2" s="1"/>
  <c r="F687" i="2" a="1"/>
  <c r="F687" i="2"/>
  <c r="F688" i="2" a="1"/>
  <c r="F688" i="2" s="1"/>
  <c r="F689" i="2" a="1"/>
  <c r="F689" i="2" s="1"/>
  <c r="F690" i="2" a="1"/>
  <c r="F690" i="2" s="1"/>
  <c r="F691" i="2" a="1"/>
  <c r="F691" i="2" s="1"/>
  <c r="F692" i="2" a="1"/>
  <c r="F692" i="2" s="1"/>
  <c r="A692" i="2" s="1"/>
  <c r="F693" i="2" a="1"/>
  <c r="F693" i="2"/>
  <c r="F694" i="2" a="1"/>
  <c r="F694" i="2"/>
  <c r="F695" i="2" a="1"/>
  <c r="F695" i="2"/>
  <c r="F696" i="2" a="1"/>
  <c r="F696" i="2" s="1"/>
  <c r="F697" i="2" a="1"/>
  <c r="F697" i="2" s="1"/>
  <c r="F698" i="2" a="1"/>
  <c r="F698" i="2" s="1"/>
  <c r="F699" i="2" a="1"/>
  <c r="F699" i="2"/>
  <c r="F700" i="2" a="1"/>
  <c r="F700" i="2" s="1"/>
  <c r="F701" i="2" a="1"/>
  <c r="F701" i="2" s="1"/>
  <c r="A701" i="2" s="1"/>
  <c r="F702" i="2" a="1"/>
  <c r="F702" i="2" s="1"/>
  <c r="F703" i="2" a="1"/>
  <c r="F703" i="2" s="1"/>
  <c r="F704" i="2" a="1"/>
  <c r="F704" i="2" s="1"/>
  <c r="F705" i="2" a="1"/>
  <c r="F705" i="2" s="1"/>
  <c r="F706" i="2" a="1"/>
  <c r="F706" i="2"/>
  <c r="F707" i="2" a="1"/>
  <c r="F707" i="2" s="1"/>
  <c r="F708" i="2" a="1"/>
  <c r="F708" i="2" s="1"/>
  <c r="F709" i="2" a="1"/>
  <c r="F709" i="2" s="1"/>
  <c r="F710" i="2" a="1"/>
  <c r="F710" i="2" s="1"/>
  <c r="F711" i="2" a="1"/>
  <c r="F711" i="2" s="1"/>
  <c r="F712" i="2" a="1"/>
  <c r="F712" i="2" s="1"/>
  <c r="F713" i="2" a="1"/>
  <c r="F713" i="2" s="1"/>
  <c r="F714" i="2" a="1"/>
  <c r="F714" i="2" s="1"/>
  <c r="F715" i="2" a="1"/>
  <c r="F715" i="2" s="1"/>
  <c r="F716" i="2" a="1"/>
  <c r="F716" i="2" s="1"/>
  <c r="F717" i="2" a="1"/>
  <c r="F717" i="2" s="1"/>
  <c r="F718" i="2" a="1"/>
  <c r="F718" i="2"/>
  <c r="F719" i="2" a="1"/>
  <c r="F719" i="2" s="1"/>
  <c r="F720" i="2" a="1"/>
  <c r="F720" i="2" s="1"/>
  <c r="F721" i="2" a="1"/>
  <c r="F721" i="2" s="1"/>
  <c r="F722" i="2" a="1"/>
  <c r="F722" i="2" s="1"/>
  <c r="F723" i="2" a="1"/>
  <c r="F723" i="2"/>
  <c r="F724" i="2" a="1"/>
  <c r="F724" i="2"/>
  <c r="F725" i="2" a="1"/>
  <c r="F725" i="2"/>
  <c r="F726" i="2" a="1"/>
  <c r="F726" i="2" s="1"/>
  <c r="F727" i="2" a="1"/>
  <c r="F727" i="2" s="1"/>
  <c r="F728" i="2" a="1"/>
  <c r="F728" i="2" s="1"/>
  <c r="F729" i="2" a="1"/>
  <c r="F729" i="2" s="1"/>
  <c r="F730" i="2" a="1"/>
  <c r="F730" i="2"/>
  <c r="F731" i="2" a="1"/>
  <c r="F731" i="2" s="1"/>
  <c r="F732" i="2" a="1"/>
  <c r="F732" i="2" s="1"/>
  <c r="F733" i="2" a="1"/>
  <c r="F733" i="2" s="1"/>
  <c r="F734" i="2" a="1"/>
  <c r="F734" i="2" s="1"/>
  <c r="A734" i="2" s="1"/>
  <c r="F735" i="2" a="1"/>
  <c r="F735" i="2"/>
  <c r="F736" i="2" a="1"/>
  <c r="F736" i="2" s="1"/>
  <c r="F737" i="2" a="1"/>
  <c r="F737" i="2" s="1"/>
  <c r="F738" i="2" a="1"/>
  <c r="F738" i="2" s="1"/>
  <c r="F739" i="2" a="1"/>
  <c r="F739" i="2" s="1"/>
  <c r="F740" i="2" a="1"/>
  <c r="F740" i="2" s="1"/>
  <c r="F741" i="2" a="1"/>
  <c r="F741" i="2"/>
  <c r="F742" i="2" a="1"/>
  <c r="F742" i="2" s="1"/>
  <c r="F743" i="2" a="1"/>
  <c r="F743" i="2" s="1"/>
  <c r="F744" i="2" a="1"/>
  <c r="F744" i="2" s="1"/>
  <c r="F745" i="2" a="1"/>
  <c r="F745" i="2" s="1"/>
  <c r="F746" i="2" a="1"/>
  <c r="F746" i="2" s="1"/>
  <c r="A746" i="2" s="1"/>
  <c r="F747" i="2" a="1"/>
  <c r="F747" i="2"/>
  <c r="F748" i="2" a="1"/>
  <c r="F748" i="2"/>
  <c r="F749" i="2" a="1"/>
  <c r="F749" i="2"/>
  <c r="F750" i="2" a="1"/>
  <c r="F750" i="2" s="1"/>
  <c r="F751" i="2" a="1"/>
  <c r="F751" i="2" s="1"/>
  <c r="F752" i="2" a="1"/>
  <c r="F752" i="2" s="1"/>
  <c r="F753" i="2" a="1"/>
  <c r="F753" i="2" s="1"/>
  <c r="F754" i="2" a="1"/>
  <c r="F754" i="2"/>
  <c r="F755" i="2" a="1"/>
  <c r="F755" i="2" s="1"/>
  <c r="F756" i="2" a="1"/>
  <c r="F756" i="2" s="1"/>
  <c r="F757" i="2" a="1"/>
  <c r="F757" i="2" s="1"/>
  <c r="F758" i="2" a="1"/>
  <c r="F758" i="2" s="1"/>
  <c r="F759" i="2" a="1"/>
  <c r="F759" i="2"/>
  <c r="F760" i="2" a="1"/>
  <c r="F760" i="2" s="1"/>
  <c r="F761" i="2" a="1"/>
  <c r="F761" i="2" s="1"/>
  <c r="F762" i="2" a="1"/>
  <c r="F762" i="2" s="1"/>
  <c r="F763" i="2" a="1"/>
  <c r="F763" i="2" s="1"/>
  <c r="F764" i="2" a="1"/>
  <c r="F764" i="2" s="1"/>
  <c r="F765" i="2" a="1"/>
  <c r="F765" i="2"/>
  <c r="F766" i="2" a="1"/>
  <c r="F766" i="2" s="1"/>
  <c r="F767" i="2" a="1"/>
  <c r="F767" i="2" s="1"/>
  <c r="F768" i="2" a="1"/>
  <c r="F768" i="2" s="1"/>
  <c r="F769" i="2" a="1"/>
  <c r="F769" i="2" s="1"/>
  <c r="F770" i="2" a="1"/>
  <c r="F770" i="2" s="1"/>
  <c r="F771" i="2" a="1"/>
  <c r="F771" i="2"/>
  <c r="F772" i="2" a="1"/>
  <c r="F772" i="2" s="1"/>
  <c r="A772" i="2" s="1"/>
  <c r="F773" i="2" a="1"/>
  <c r="F773" i="2"/>
  <c r="F774" i="2" a="1"/>
  <c r="F774" i="2" s="1"/>
  <c r="F775" i="2" a="1"/>
  <c r="F775" i="2" s="1"/>
  <c r="F776" i="2" a="1"/>
  <c r="F776" i="2" s="1"/>
  <c r="F777" i="2" a="1"/>
  <c r="F777" i="2" s="1"/>
  <c r="F778" i="2" a="1"/>
  <c r="F778" i="2"/>
  <c r="F779" i="2" a="1"/>
  <c r="F779" i="2" s="1"/>
  <c r="F780" i="2" a="1"/>
  <c r="F780" i="2" s="1"/>
  <c r="F781" i="2" a="1"/>
  <c r="F781" i="2" s="1"/>
  <c r="F782" i="2" a="1"/>
  <c r="F782" i="2" s="1"/>
  <c r="F783" i="2" a="1"/>
  <c r="F783" i="2"/>
  <c r="F784" i="2" a="1"/>
  <c r="F784" i="2" s="1"/>
  <c r="F785" i="2" a="1"/>
  <c r="F785" i="2" s="1"/>
  <c r="F786" i="2" a="1"/>
  <c r="F786" i="2" s="1"/>
  <c r="F787" i="2" a="1"/>
  <c r="F787" i="2" s="1"/>
  <c r="F788" i="2" a="1"/>
  <c r="F788" i="2" s="1"/>
  <c r="F789" i="2" a="1"/>
  <c r="F789" i="2" s="1"/>
  <c r="F790" i="2" a="1"/>
  <c r="F790" i="2" s="1"/>
  <c r="A790" i="2" s="1"/>
  <c r="F791" i="2" a="1"/>
  <c r="F791" i="2" s="1"/>
  <c r="A791" i="2" s="1"/>
  <c r="F792" i="2" a="1"/>
  <c r="F792" i="2" s="1"/>
  <c r="F793" i="2" a="1"/>
  <c r="F793" i="2" s="1"/>
  <c r="F794" i="2" a="1"/>
  <c r="F794" i="2" s="1"/>
  <c r="F795" i="2" a="1"/>
  <c r="F795" i="2" s="1"/>
  <c r="F796" i="2" a="1"/>
  <c r="F796" i="2"/>
  <c r="F797" i="2" a="1"/>
  <c r="F797" i="2"/>
  <c r="F798" i="2" a="1"/>
  <c r="F798" i="2" s="1"/>
  <c r="A798" i="2" s="1"/>
  <c r="F799" i="2" a="1"/>
  <c r="F799" i="2" s="1"/>
  <c r="F800" i="2" a="1"/>
  <c r="F800" i="2" s="1"/>
  <c r="F801" i="2" a="1"/>
  <c r="F801" i="2" s="1"/>
  <c r="A801" i="2" s="1"/>
  <c r="F802" i="2" a="1"/>
  <c r="F802" i="2" s="1"/>
  <c r="F803" i="2" a="1"/>
  <c r="F803" i="2" s="1"/>
  <c r="F804" i="2" a="1"/>
  <c r="F804" i="2" s="1"/>
  <c r="F805" i="2" a="1"/>
  <c r="F805" i="2" s="1"/>
  <c r="F806" i="2" a="1"/>
  <c r="F806" i="2" s="1"/>
  <c r="F807" i="2" a="1"/>
  <c r="F807" i="2"/>
  <c r="A807" i="2" s="1"/>
  <c r="F808" i="2" a="1"/>
  <c r="F808" i="2" s="1"/>
  <c r="A808" i="2" s="1"/>
  <c r="F809" i="2" a="1"/>
  <c r="F809" i="2" s="1"/>
  <c r="A809" i="2" s="1"/>
  <c r="F810" i="2" a="1"/>
  <c r="F810" i="2" s="1"/>
  <c r="A810" i="2" s="1"/>
  <c r="F811" i="2" a="1"/>
  <c r="F811" i="2" s="1"/>
  <c r="F812" i="2" a="1"/>
  <c r="F812" i="2" s="1"/>
  <c r="F813" i="2" a="1"/>
  <c r="F813" i="2"/>
  <c r="F814" i="2" a="1"/>
  <c r="F814" i="2" s="1"/>
  <c r="F815" i="2" a="1"/>
  <c r="F815" i="2" s="1"/>
  <c r="F816" i="2" a="1"/>
  <c r="F816" i="2" s="1"/>
  <c r="F817" i="2" a="1"/>
  <c r="F817" i="2" s="1"/>
  <c r="F818" i="2" a="1"/>
  <c r="F818" i="2" s="1"/>
  <c r="F819" i="2" a="1"/>
  <c r="F819" i="2"/>
  <c r="A819" i="2" s="1"/>
  <c r="F820" i="2" a="1"/>
  <c r="F820" i="2" s="1"/>
  <c r="A820" i="2" s="1"/>
  <c r="F821" i="2" a="1"/>
  <c r="F821" i="2" s="1"/>
  <c r="F822" i="2" a="1"/>
  <c r="F822" i="2" s="1"/>
  <c r="F823" i="2" a="1"/>
  <c r="F823" i="2" s="1"/>
  <c r="F824" i="2" a="1"/>
  <c r="F824" i="2" s="1"/>
  <c r="F825" i="2" a="1"/>
  <c r="F825" i="2" s="1"/>
  <c r="F826" i="2" a="1"/>
  <c r="F826" i="2"/>
  <c r="F827" i="2" a="1"/>
  <c r="F827" i="2" s="1"/>
  <c r="A827" i="2" s="1"/>
  <c r="F828" i="2" a="1"/>
  <c r="F828" i="2" s="1"/>
  <c r="F829" i="2" a="1"/>
  <c r="F829" i="2" s="1"/>
  <c r="A829" i="2" s="1"/>
  <c r="F830" i="2" a="1"/>
  <c r="F830" i="2" s="1"/>
  <c r="F831" i="2" a="1"/>
  <c r="F831" i="2" s="1"/>
  <c r="F832" i="2" a="1"/>
  <c r="F832" i="2" s="1"/>
  <c r="F833" i="2" a="1"/>
  <c r="F833" i="2" s="1"/>
  <c r="F834" i="2" a="1"/>
  <c r="F834" i="2" s="1"/>
  <c r="F835" i="2" a="1"/>
  <c r="F835" i="2" s="1"/>
  <c r="F836" i="2" a="1"/>
  <c r="F836" i="2" s="1"/>
  <c r="F837" i="2" a="1"/>
  <c r="F837" i="2"/>
  <c r="F838" i="2" a="1"/>
  <c r="F838" i="2"/>
  <c r="F839" i="2" a="1"/>
  <c r="F839" i="2" s="1"/>
  <c r="A839" i="2" s="1"/>
  <c r="F840" i="2" a="1"/>
  <c r="F840" i="2" s="1"/>
  <c r="F841" i="2" a="1"/>
  <c r="F841" i="2" s="1"/>
  <c r="F842" i="2" a="1"/>
  <c r="F842" i="2" s="1"/>
  <c r="F843" i="2" a="1"/>
  <c r="F843" i="2"/>
  <c r="F844" i="2" a="1"/>
  <c r="F844" i="2"/>
  <c r="F845" i="2" a="1"/>
  <c r="F845" i="2"/>
  <c r="F846" i="2" a="1"/>
  <c r="F846" i="2" s="1"/>
  <c r="F847" i="2" a="1"/>
  <c r="F847" i="2" s="1"/>
  <c r="A847" i="2" s="1"/>
  <c r="F848" i="2" a="1"/>
  <c r="F848" i="2" s="1"/>
  <c r="F849" i="2" a="1"/>
  <c r="F849" i="2" s="1"/>
  <c r="F850" i="2" a="1"/>
  <c r="F850" i="2" s="1"/>
  <c r="A850" i="2" s="1"/>
  <c r="F851" i="2" a="1"/>
  <c r="F851" i="2" s="1"/>
  <c r="F852" i="2" a="1"/>
  <c r="F852" i="2" s="1"/>
  <c r="F853" i="2" a="1"/>
  <c r="F853" i="2" s="1"/>
  <c r="F854" i="2" a="1"/>
  <c r="F854" i="2" s="1"/>
  <c r="F855" i="2" a="1"/>
  <c r="F855" i="2"/>
  <c r="F856" i="2" a="1"/>
  <c r="F856" i="2" s="1"/>
  <c r="F857" i="2" a="1"/>
  <c r="F857" i="2" s="1"/>
  <c r="F858" i="2" a="1"/>
  <c r="F858" i="2" s="1"/>
  <c r="A858" i="2" s="1"/>
  <c r="F859" i="2" a="1"/>
  <c r="F859" i="2" s="1"/>
  <c r="F860" i="2" a="1"/>
  <c r="F860" i="2" s="1"/>
  <c r="F861" i="2" a="1"/>
  <c r="F861" i="2" s="1"/>
  <c r="F862" i="2" a="1"/>
  <c r="F862" i="2" s="1"/>
  <c r="F863" i="2" a="1"/>
  <c r="F863" i="2"/>
  <c r="F864" i="2" a="1"/>
  <c r="F864" i="2" s="1"/>
  <c r="F865" i="2" a="1"/>
  <c r="F865" i="2" s="1"/>
  <c r="F866" i="2" a="1"/>
  <c r="F866" i="2" s="1"/>
  <c r="F867" i="2" a="1"/>
  <c r="F867" i="2"/>
  <c r="F868" i="2" a="1"/>
  <c r="F868" i="2" s="1"/>
  <c r="A868" i="2" s="1"/>
  <c r="F869" i="2" a="1"/>
  <c r="F869" i="2" s="1"/>
  <c r="F870" i="2" a="1"/>
  <c r="F870" i="2" s="1"/>
  <c r="F871" i="2" a="1"/>
  <c r="F871" i="2" s="1"/>
  <c r="F872" i="2" a="1"/>
  <c r="F872" i="2" s="1"/>
  <c r="F873" i="2" a="1"/>
  <c r="F873" i="2" s="1"/>
  <c r="A873" i="2" s="1"/>
  <c r="F874" i="2" a="1"/>
  <c r="F874" i="2"/>
  <c r="A874" i="2" s="1"/>
  <c r="F875" i="2" a="1"/>
  <c r="F875" i="2" s="1"/>
  <c r="A875" i="2" s="1"/>
  <c r="F876" i="2" a="1"/>
  <c r="F876" i="2" s="1"/>
  <c r="A876" i="2" s="1"/>
  <c r="F877" i="2" a="1"/>
  <c r="F877" i="2" s="1"/>
  <c r="A877" i="2" s="1"/>
  <c r="F878" i="2" a="1"/>
  <c r="F878" i="2" s="1"/>
  <c r="A878" i="2" s="1"/>
  <c r="F879" i="2" a="1"/>
  <c r="F879" i="2"/>
  <c r="F880" i="2" a="1"/>
  <c r="F880" i="2" s="1"/>
  <c r="F881" i="2" a="1"/>
  <c r="F881" i="2"/>
  <c r="F882" i="2" a="1"/>
  <c r="F882" i="2" s="1"/>
  <c r="F883" i="2" a="1"/>
  <c r="F883" i="2" s="1"/>
  <c r="F884" i="2" a="1"/>
  <c r="F884" i="2"/>
  <c r="F885" i="2" a="1"/>
  <c r="F885" i="2"/>
  <c r="F886" i="2" a="1"/>
  <c r="F886" i="2" s="1"/>
  <c r="F887" i="2" a="1"/>
  <c r="F887" i="2" s="1"/>
  <c r="F888" i="2" a="1"/>
  <c r="F888" i="2" s="1"/>
  <c r="F889" i="2" a="1"/>
  <c r="F889" i="2" s="1"/>
  <c r="F890" i="2" a="1"/>
  <c r="F890" i="2" s="1"/>
  <c r="F891" i="2" a="1"/>
  <c r="F891" i="2"/>
  <c r="F892" i="2" a="1"/>
  <c r="F892" i="2"/>
  <c r="F893" i="2" a="1"/>
  <c r="F893" i="2"/>
  <c r="F894" i="2" a="1"/>
  <c r="F894" i="2" s="1"/>
  <c r="F895" i="2" a="1"/>
  <c r="F895" i="2" s="1"/>
  <c r="F896" i="2" a="1"/>
  <c r="F896" i="2" s="1"/>
  <c r="A896" i="2" s="1"/>
  <c r="F897" i="2" a="1"/>
  <c r="F897" i="2" s="1"/>
  <c r="F898" i="2" a="1"/>
  <c r="F898" i="2"/>
  <c r="F899" i="2" a="1"/>
  <c r="F899" i="2"/>
  <c r="F900" i="2" a="1"/>
  <c r="F900" i="2" s="1"/>
  <c r="F901" i="2" a="1"/>
  <c r="F901" i="2" s="1"/>
  <c r="F902" i="2" a="1"/>
  <c r="F902" i="2" s="1"/>
  <c r="F903" i="2" a="1"/>
  <c r="F903" i="2" s="1"/>
  <c r="F904" i="2" a="1"/>
  <c r="F904" i="2" s="1"/>
  <c r="F905" i="2" a="1"/>
  <c r="F905" i="2" s="1"/>
  <c r="F906" i="2" a="1"/>
  <c r="F906" i="2" s="1"/>
  <c r="F907" i="2" a="1"/>
  <c r="F907" i="2" s="1"/>
  <c r="F908" i="2" a="1"/>
  <c r="F908" i="2" s="1"/>
  <c r="A908" i="2" s="1"/>
  <c r="F909" i="2" a="1"/>
  <c r="F909" i="2" s="1"/>
  <c r="F910" i="2" a="1"/>
  <c r="F910" i="2"/>
  <c r="F911" i="2" a="1"/>
  <c r="F911" i="2" s="1"/>
  <c r="F912" i="2" a="1"/>
  <c r="F912" i="2" s="1"/>
  <c r="F913" i="2" a="1"/>
  <c r="F913" i="2" s="1"/>
  <c r="F914" i="2" a="1"/>
  <c r="F914" i="2" s="1"/>
  <c r="F915" i="2" a="1"/>
  <c r="F915" i="2"/>
  <c r="F916" i="2" a="1"/>
  <c r="F916" i="2" s="1"/>
  <c r="F917" i="2" a="1"/>
  <c r="F917" i="2" s="1"/>
  <c r="A917" i="2" s="1"/>
  <c r="F918" i="2" a="1"/>
  <c r="F918" i="2" s="1"/>
  <c r="A918" i="2" s="1"/>
  <c r="F919" i="2" a="1"/>
  <c r="F919" i="2" s="1"/>
  <c r="A919" i="2" s="1"/>
  <c r="F920" i="2" a="1"/>
  <c r="F920" i="2" s="1"/>
  <c r="F921" i="2" a="1"/>
  <c r="F921" i="2" s="1"/>
  <c r="F922" i="2" a="1"/>
  <c r="F922" i="2" s="1"/>
  <c r="F923" i="2" a="1"/>
  <c r="F923" i="2" s="1"/>
  <c r="F924" i="2" a="1"/>
  <c r="F924" i="2" s="1"/>
  <c r="F925" i="2" a="1"/>
  <c r="F925" i="2" s="1"/>
  <c r="A925" i="2" s="1"/>
  <c r="F926" i="2" a="1"/>
  <c r="F926" i="2" s="1"/>
  <c r="A926" i="2" s="1"/>
  <c r="F927" i="2" a="1"/>
  <c r="F927" i="2" s="1"/>
  <c r="A927" i="2" s="1"/>
  <c r="F928" i="2" a="1"/>
  <c r="F928" i="2" s="1"/>
  <c r="A928" i="2" s="1"/>
  <c r="F929" i="2" a="1"/>
  <c r="F929" i="2" s="1"/>
  <c r="F930" i="2" a="1"/>
  <c r="F930" i="2" s="1"/>
  <c r="F931" i="2" a="1"/>
  <c r="F931" i="2" s="1"/>
  <c r="F932" i="2" a="1"/>
  <c r="F932" i="2"/>
  <c r="F933" i="2" a="1"/>
  <c r="F933" i="2" s="1"/>
  <c r="F934" i="2" a="1"/>
  <c r="F934" i="2"/>
  <c r="A934" i="2" s="1"/>
  <c r="F935" i="2" a="1"/>
  <c r="F935" i="2" s="1"/>
  <c r="A935" i="2" s="1"/>
  <c r="F936" i="2" a="1"/>
  <c r="F936" i="2" s="1"/>
  <c r="F937" i="2" a="1"/>
  <c r="F937" i="2" s="1"/>
  <c r="F938" i="2" a="1"/>
  <c r="F938" i="2" s="1"/>
  <c r="F939" i="2" a="1"/>
  <c r="F939" i="2" s="1"/>
  <c r="F940" i="2" a="1"/>
  <c r="F940" i="2" s="1"/>
  <c r="F941" i="2" a="1"/>
  <c r="F941" i="2"/>
  <c r="F942" i="2" a="1"/>
  <c r="F942" i="2" s="1"/>
  <c r="F943" i="2" a="1"/>
  <c r="F943" i="2" s="1"/>
  <c r="A943" i="2" s="1"/>
  <c r="F944" i="2" a="1"/>
  <c r="F944" i="2" s="1"/>
  <c r="A944" i="2" s="1"/>
  <c r="F945" i="2" a="1"/>
  <c r="F945" i="2" s="1"/>
  <c r="A945" i="2" s="1"/>
  <c r="F946" i="2" a="1"/>
  <c r="F946" i="2" s="1"/>
  <c r="F947" i="2" a="1"/>
  <c r="F947" i="2" s="1"/>
  <c r="F948" i="2" a="1"/>
  <c r="F948" i="2" s="1"/>
  <c r="F949" i="2" a="1"/>
  <c r="F949" i="2" s="1"/>
  <c r="F950" i="2" a="1"/>
  <c r="F950" i="2"/>
  <c r="F951" i="2" a="1"/>
  <c r="F951" i="2"/>
  <c r="A951" i="2" s="1"/>
  <c r="F952" i="2" a="1"/>
  <c r="F952" i="2" s="1"/>
  <c r="F953" i="2" a="1"/>
  <c r="F953" i="2" s="1"/>
  <c r="A953" i="2" s="1"/>
  <c r="F954" i="2" a="1"/>
  <c r="F954" i="2" s="1"/>
  <c r="F955" i="2" a="1"/>
  <c r="F955" i="2" s="1"/>
  <c r="F956" i="2" a="1"/>
  <c r="F956" i="2" s="1"/>
  <c r="A956" i="2" s="1"/>
  <c r="F957" i="2" a="1"/>
  <c r="F957" i="2"/>
  <c r="F958" i="2" a="1"/>
  <c r="F958" i="2"/>
  <c r="F959" i="2" a="1"/>
  <c r="F959" i="2" s="1"/>
  <c r="F960" i="2" a="1"/>
  <c r="F960" i="2" s="1"/>
  <c r="F961" i="2" a="1"/>
  <c r="F961" i="2" s="1"/>
  <c r="F962" i="2" a="1"/>
  <c r="F962" i="2" s="1"/>
  <c r="A962" i="2" s="1"/>
  <c r="F963" i="2" a="1"/>
  <c r="F963" i="2" s="1"/>
  <c r="A963" i="2" s="1"/>
  <c r="F964" i="2" a="1"/>
  <c r="F964" i="2" s="1"/>
  <c r="A964" i="2" s="1"/>
  <c r="F965" i="2" a="1"/>
  <c r="F965" i="2"/>
  <c r="F966" i="2" a="1"/>
  <c r="F966" i="2" s="1"/>
  <c r="F967" i="2" a="1"/>
  <c r="F967" i="2" s="1"/>
  <c r="F968" i="2" a="1"/>
  <c r="F968" i="2" s="1"/>
  <c r="F969" i="2" a="1"/>
  <c r="F969" i="2" s="1"/>
  <c r="F970" i="2" a="1"/>
  <c r="F970" i="2"/>
  <c r="A970" i="2" s="1"/>
  <c r="F971" i="2" a="1"/>
  <c r="F971" i="2" s="1"/>
  <c r="A971" i="2" s="1"/>
  <c r="F972" i="2" a="1"/>
  <c r="F972" i="2" s="1"/>
  <c r="F973" i="2" a="1"/>
  <c r="F973" i="2" s="1"/>
  <c r="F974" i="2" a="1"/>
  <c r="F974" i="2" s="1"/>
  <c r="F975" i="2" a="1"/>
  <c r="F975" i="2" s="1"/>
  <c r="F976" i="2" a="1"/>
  <c r="F976" i="2" s="1"/>
  <c r="F977" i="2" a="1"/>
  <c r="F977" i="2"/>
  <c r="F978" i="2" a="1"/>
  <c r="F978" i="2" s="1"/>
  <c r="F979" i="2" a="1"/>
  <c r="F979" i="2" s="1"/>
  <c r="F980" i="2" a="1"/>
  <c r="F980" i="2" s="1"/>
  <c r="A980" i="2" s="1"/>
  <c r="F981" i="2" a="1"/>
  <c r="F981" i="2" s="1"/>
  <c r="F982" i="2" a="1"/>
  <c r="F982" i="2" s="1"/>
  <c r="F983" i="2" a="1"/>
  <c r="F983" i="2" s="1"/>
  <c r="F984" i="2" a="1"/>
  <c r="F984" i="2" s="1"/>
  <c r="F985" i="2" a="1"/>
  <c r="F985" i="2" s="1"/>
  <c r="F986" i="2" a="1"/>
  <c r="F986" i="2"/>
  <c r="F987" i="2" a="1"/>
  <c r="F987" i="2"/>
  <c r="F988" i="2" a="1"/>
  <c r="F988" i="2" s="1"/>
  <c r="F989" i="2" a="1"/>
  <c r="F989" i="2" s="1"/>
  <c r="A989" i="2" s="1"/>
  <c r="F990" i="2" a="1"/>
  <c r="F990" i="2" s="1"/>
  <c r="F991" i="2" a="1"/>
  <c r="F991" i="2" s="1"/>
  <c r="A991" i="2" s="1"/>
  <c r="F992" i="2" a="1"/>
  <c r="F992" i="2" s="1"/>
  <c r="A992" i="2" s="1"/>
  <c r="F993" i="2" a="1"/>
  <c r="F993" i="2"/>
  <c r="F994" i="2" a="1"/>
  <c r="F994" i="2"/>
  <c r="F995" i="2" a="1"/>
  <c r="F995" i="2" s="1"/>
  <c r="F996" i="2" a="1"/>
  <c r="F996" i="2" s="1"/>
  <c r="F997" i="2" a="1"/>
  <c r="F997" i="2" s="1"/>
  <c r="F998" i="2" a="1"/>
  <c r="F998" i="2" s="1"/>
  <c r="A998" i="2" s="1"/>
  <c r="F999" i="2" a="1"/>
  <c r="F999" i="2" s="1"/>
  <c r="A999" i="2" s="1"/>
  <c r="F1000" i="2" a="1"/>
  <c r="F1000" i="2" s="1"/>
  <c r="A1000" i="2" s="1"/>
  <c r="F1001" i="2" a="1"/>
  <c r="F1001" i="2"/>
  <c r="F1002" i="2" a="1"/>
  <c r="F1002" i="2" s="1"/>
  <c r="F1003" i="2" a="1"/>
  <c r="F1003" i="2" s="1"/>
  <c r="F4" i="2" a="1"/>
  <c r="F4" i="2" s="1"/>
  <c r="L4" i="2"/>
  <c r="L8" i="2"/>
  <c r="L5" i="2"/>
  <c r="L6" i="2"/>
  <c r="L7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R4" i="2"/>
  <c r="T4" i="2" s="1"/>
  <c r="U4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R5" i="2"/>
  <c r="T5" i="2" s="1"/>
  <c r="U5" i="2" s="1"/>
  <c r="R6" i="2"/>
  <c r="T6" i="2" s="1"/>
  <c r="U6" i="2" s="1"/>
  <c r="R7" i="2"/>
  <c r="T7" i="2" s="1"/>
  <c r="U7" i="2" s="1"/>
  <c r="R8" i="2"/>
  <c r="T8" i="2" s="1"/>
  <c r="U8" i="2" s="1"/>
  <c r="R9" i="2"/>
  <c r="T9" i="2" s="1"/>
  <c r="U9" i="2" s="1"/>
  <c r="R10" i="2"/>
  <c r="T10" i="2" s="1"/>
  <c r="U10" i="2" s="1"/>
  <c r="R11" i="2"/>
  <c r="T11" i="2" s="1"/>
  <c r="U11" i="2" s="1"/>
  <c r="R12" i="2"/>
  <c r="T12" i="2" s="1"/>
  <c r="U12" i="2" s="1"/>
  <c r="R13" i="2"/>
  <c r="T13" i="2" s="1"/>
  <c r="U13" i="2" s="1"/>
  <c r="R14" i="2"/>
  <c r="T14" i="2" s="1"/>
  <c r="U14" i="2" s="1"/>
  <c r="R15" i="2"/>
  <c r="T15" i="2" s="1"/>
  <c r="U15" i="2" s="1"/>
  <c r="R16" i="2"/>
  <c r="T16" i="2" s="1"/>
  <c r="U16" i="2" s="1"/>
  <c r="R17" i="2"/>
  <c r="T17" i="2" s="1"/>
  <c r="U17" i="2" s="1"/>
  <c r="R18" i="2"/>
  <c r="T18" i="2" s="1"/>
  <c r="U18" i="2" s="1"/>
  <c r="R19" i="2"/>
  <c r="T19" i="2" s="1"/>
  <c r="U19" i="2" s="1"/>
  <c r="R20" i="2"/>
  <c r="T20" i="2" s="1"/>
  <c r="U20" i="2" s="1"/>
  <c r="R21" i="2"/>
  <c r="T21" i="2" s="1"/>
  <c r="U21" i="2" s="1"/>
  <c r="R22" i="2"/>
  <c r="T22" i="2" s="1"/>
  <c r="U22" i="2" s="1"/>
  <c r="R23" i="2"/>
  <c r="T23" i="2" s="1"/>
  <c r="U23" i="2" s="1"/>
  <c r="R24" i="2"/>
  <c r="T24" i="2" s="1"/>
  <c r="U24" i="2" s="1"/>
  <c r="R25" i="2"/>
  <c r="T25" i="2" s="1"/>
  <c r="U25" i="2" s="1"/>
  <c r="R26" i="2"/>
  <c r="T26" i="2" s="1"/>
  <c r="U26" i="2" s="1"/>
  <c r="R27" i="2"/>
  <c r="T27" i="2" s="1"/>
  <c r="U27" i="2" s="1"/>
  <c r="R28" i="2"/>
  <c r="T28" i="2" s="1"/>
  <c r="U28" i="2" s="1"/>
  <c r="R29" i="2"/>
  <c r="T29" i="2" s="1"/>
  <c r="U29" i="2" s="1"/>
  <c r="R30" i="2"/>
  <c r="T30" i="2" s="1"/>
  <c r="U30" i="2" s="1"/>
  <c r="R31" i="2"/>
  <c r="T31" i="2" s="1"/>
  <c r="U31" i="2" s="1"/>
  <c r="R32" i="2"/>
  <c r="T32" i="2" s="1"/>
  <c r="U32" i="2" s="1"/>
  <c r="R33" i="2"/>
  <c r="T33" i="2" s="1"/>
  <c r="U33" i="2" s="1"/>
  <c r="R34" i="2"/>
  <c r="T34" i="2" s="1"/>
  <c r="U34" i="2" s="1"/>
  <c r="R35" i="2"/>
  <c r="T35" i="2" s="1"/>
  <c r="U35" i="2" s="1"/>
  <c r="R36" i="2"/>
  <c r="T36" i="2" s="1"/>
  <c r="U36" i="2" s="1"/>
  <c r="R37" i="2"/>
  <c r="T37" i="2" s="1"/>
  <c r="U37" i="2" s="1"/>
  <c r="R38" i="2"/>
  <c r="T38" i="2" s="1"/>
  <c r="U38" i="2" s="1"/>
  <c r="R39" i="2"/>
  <c r="T39" i="2" s="1"/>
  <c r="U39" i="2" s="1"/>
  <c r="R40" i="2"/>
  <c r="T40" i="2" s="1"/>
  <c r="U40" i="2" s="1"/>
  <c r="R41" i="2"/>
  <c r="T41" i="2" s="1"/>
  <c r="U41" i="2" s="1"/>
  <c r="R42" i="2"/>
  <c r="T42" i="2" s="1"/>
  <c r="U42" i="2" s="1"/>
  <c r="R43" i="2"/>
  <c r="T43" i="2" s="1"/>
  <c r="U43" i="2" s="1"/>
  <c r="R44" i="2"/>
  <c r="T44" i="2" s="1"/>
  <c r="U44" i="2" s="1"/>
  <c r="R45" i="2"/>
  <c r="T45" i="2" s="1"/>
  <c r="U45" i="2" s="1"/>
  <c r="R46" i="2"/>
  <c r="T46" i="2" s="1"/>
  <c r="U46" i="2" s="1"/>
  <c r="R47" i="2"/>
  <c r="T47" i="2" s="1"/>
  <c r="U47" i="2" s="1"/>
  <c r="R48" i="2"/>
  <c r="T48" i="2" s="1"/>
  <c r="U48" i="2" s="1"/>
  <c r="R49" i="2"/>
  <c r="T49" i="2" s="1"/>
  <c r="U49" i="2" s="1"/>
  <c r="R50" i="2"/>
  <c r="T50" i="2" s="1"/>
  <c r="U50" i="2" s="1"/>
  <c r="R51" i="2"/>
  <c r="T51" i="2" s="1"/>
  <c r="U51" i="2" s="1"/>
  <c r="R52" i="2"/>
  <c r="T52" i="2" s="1"/>
  <c r="U52" i="2" s="1"/>
  <c r="R53" i="2"/>
  <c r="T53" i="2" s="1"/>
  <c r="U53" i="2" s="1"/>
  <c r="R54" i="2"/>
  <c r="T54" i="2" s="1"/>
  <c r="U54" i="2" s="1"/>
  <c r="R55" i="2"/>
  <c r="T55" i="2" s="1"/>
  <c r="U55" i="2" s="1"/>
  <c r="R56" i="2"/>
  <c r="T56" i="2" s="1"/>
  <c r="U56" i="2" s="1"/>
  <c r="R57" i="2"/>
  <c r="T57" i="2" s="1"/>
  <c r="U57" i="2" s="1"/>
  <c r="R58" i="2"/>
  <c r="T58" i="2" s="1"/>
  <c r="U58" i="2" s="1"/>
  <c r="R59" i="2"/>
  <c r="T59" i="2" s="1"/>
  <c r="U59" i="2" s="1"/>
  <c r="R60" i="2"/>
  <c r="T60" i="2" s="1"/>
  <c r="U60" i="2" s="1"/>
  <c r="R61" i="2"/>
  <c r="T61" i="2" s="1"/>
  <c r="U61" i="2" s="1"/>
  <c r="R62" i="2"/>
  <c r="T62" i="2" s="1"/>
  <c r="U62" i="2" s="1"/>
  <c r="R63" i="2"/>
  <c r="T63" i="2" s="1"/>
  <c r="U63" i="2" s="1"/>
  <c r="R64" i="2"/>
  <c r="T64" i="2" s="1"/>
  <c r="U64" i="2" s="1"/>
  <c r="R65" i="2"/>
  <c r="T65" i="2" s="1"/>
  <c r="U65" i="2" s="1"/>
  <c r="R66" i="2"/>
  <c r="T66" i="2" s="1"/>
  <c r="U66" i="2" s="1"/>
  <c r="R67" i="2"/>
  <c r="T67" i="2" s="1"/>
  <c r="U67" i="2" s="1"/>
  <c r="R68" i="2"/>
  <c r="T68" i="2" s="1"/>
  <c r="U68" i="2" s="1"/>
  <c r="R69" i="2"/>
  <c r="T69" i="2" s="1"/>
  <c r="U69" i="2" s="1"/>
  <c r="R70" i="2"/>
  <c r="T70" i="2" s="1"/>
  <c r="U70" i="2" s="1"/>
  <c r="R71" i="2"/>
  <c r="T71" i="2" s="1"/>
  <c r="U71" i="2" s="1"/>
  <c r="R72" i="2"/>
  <c r="T72" i="2" s="1"/>
  <c r="U72" i="2" s="1"/>
  <c r="R73" i="2"/>
  <c r="T73" i="2" s="1"/>
  <c r="U73" i="2" s="1"/>
  <c r="R74" i="2"/>
  <c r="T74" i="2" s="1"/>
  <c r="U74" i="2" s="1"/>
  <c r="R75" i="2"/>
  <c r="T75" i="2" s="1"/>
  <c r="U75" i="2" s="1"/>
  <c r="R76" i="2"/>
  <c r="T76" i="2" s="1"/>
  <c r="U76" i="2" s="1"/>
  <c r="R77" i="2"/>
  <c r="T77" i="2" s="1"/>
  <c r="U77" i="2" s="1"/>
  <c r="R78" i="2"/>
  <c r="T78" i="2" s="1"/>
  <c r="U78" i="2" s="1"/>
  <c r="R79" i="2"/>
  <c r="T79" i="2" s="1"/>
  <c r="U79" i="2" s="1"/>
  <c r="R80" i="2"/>
  <c r="T80" i="2" s="1"/>
  <c r="U80" i="2" s="1"/>
  <c r="R81" i="2"/>
  <c r="T81" i="2" s="1"/>
  <c r="U81" i="2" s="1"/>
  <c r="R82" i="2"/>
  <c r="T82" i="2" s="1"/>
  <c r="U82" i="2" s="1"/>
  <c r="R83" i="2"/>
  <c r="T83" i="2" s="1"/>
  <c r="U83" i="2" s="1"/>
  <c r="R84" i="2"/>
  <c r="T84" i="2" s="1"/>
  <c r="U84" i="2" s="1"/>
  <c r="R85" i="2"/>
  <c r="T85" i="2" s="1"/>
  <c r="U85" i="2" s="1"/>
  <c r="R86" i="2"/>
  <c r="T86" i="2" s="1"/>
  <c r="U86" i="2" s="1"/>
  <c r="R87" i="2"/>
  <c r="T87" i="2" s="1"/>
  <c r="U87" i="2" s="1"/>
  <c r="R88" i="2"/>
  <c r="T88" i="2" s="1"/>
  <c r="U88" i="2" s="1"/>
  <c r="R89" i="2"/>
  <c r="T89" i="2" s="1"/>
  <c r="U89" i="2" s="1"/>
  <c r="R90" i="2"/>
  <c r="T90" i="2" s="1"/>
  <c r="U90" i="2" s="1"/>
  <c r="R91" i="2"/>
  <c r="T91" i="2" s="1"/>
  <c r="U91" i="2" s="1"/>
  <c r="R92" i="2"/>
  <c r="T92" i="2" s="1"/>
  <c r="U92" i="2" s="1"/>
  <c r="R93" i="2"/>
  <c r="T93" i="2" s="1"/>
  <c r="U93" i="2" s="1"/>
  <c r="R94" i="2"/>
  <c r="T94" i="2" s="1"/>
  <c r="U94" i="2" s="1"/>
  <c r="R95" i="2"/>
  <c r="T95" i="2" s="1"/>
  <c r="U95" i="2" s="1"/>
  <c r="R96" i="2"/>
  <c r="T96" i="2" s="1"/>
  <c r="U96" i="2" s="1"/>
  <c r="R97" i="2"/>
  <c r="T97" i="2" s="1"/>
  <c r="U97" i="2" s="1"/>
  <c r="R98" i="2"/>
  <c r="T98" i="2" s="1"/>
  <c r="U98" i="2" s="1"/>
  <c r="R99" i="2"/>
  <c r="T99" i="2" s="1"/>
  <c r="U99" i="2" s="1"/>
  <c r="R100" i="2"/>
  <c r="T100" i="2" s="1"/>
  <c r="U100" i="2" s="1"/>
  <c r="R101" i="2"/>
  <c r="T101" i="2" s="1"/>
  <c r="U101" i="2" s="1"/>
  <c r="R102" i="2"/>
  <c r="T102" i="2" s="1"/>
  <c r="U102" i="2" s="1"/>
  <c r="R103" i="2"/>
  <c r="T103" i="2" s="1"/>
  <c r="U103" i="2" s="1"/>
  <c r="R104" i="2"/>
  <c r="T104" i="2" s="1"/>
  <c r="U104" i="2" s="1"/>
  <c r="R105" i="2"/>
  <c r="T105" i="2" s="1"/>
  <c r="U105" i="2" s="1"/>
  <c r="R106" i="2"/>
  <c r="T106" i="2" s="1"/>
  <c r="U106" i="2" s="1"/>
  <c r="R107" i="2"/>
  <c r="T107" i="2" s="1"/>
  <c r="U107" i="2" s="1"/>
  <c r="R108" i="2"/>
  <c r="T108" i="2" s="1"/>
  <c r="U108" i="2" s="1"/>
  <c r="R109" i="2"/>
  <c r="T109" i="2" s="1"/>
  <c r="U109" i="2" s="1"/>
  <c r="R110" i="2"/>
  <c r="T110" i="2" s="1"/>
  <c r="U110" i="2" s="1"/>
  <c r="R111" i="2"/>
  <c r="T111" i="2" s="1"/>
  <c r="U111" i="2" s="1"/>
  <c r="R112" i="2"/>
  <c r="T112" i="2" s="1"/>
  <c r="U112" i="2" s="1"/>
  <c r="R113" i="2"/>
  <c r="T113" i="2" s="1"/>
  <c r="U113" i="2" s="1"/>
  <c r="R114" i="2"/>
  <c r="T114" i="2" s="1"/>
  <c r="U114" i="2" s="1"/>
  <c r="R115" i="2"/>
  <c r="T115" i="2" s="1"/>
  <c r="U115" i="2" s="1"/>
  <c r="R116" i="2"/>
  <c r="T116" i="2" s="1"/>
  <c r="U116" i="2" s="1"/>
  <c r="R117" i="2"/>
  <c r="T117" i="2" s="1"/>
  <c r="U117" i="2" s="1"/>
  <c r="R118" i="2"/>
  <c r="T118" i="2" s="1"/>
  <c r="U118" i="2" s="1"/>
  <c r="R119" i="2"/>
  <c r="T119" i="2" s="1"/>
  <c r="U119" i="2" s="1"/>
  <c r="R120" i="2"/>
  <c r="T120" i="2" s="1"/>
  <c r="U120" i="2" s="1"/>
  <c r="R121" i="2"/>
  <c r="T121" i="2" s="1"/>
  <c r="U121" i="2" s="1"/>
  <c r="R122" i="2"/>
  <c r="T122" i="2" s="1"/>
  <c r="U122" i="2" s="1"/>
  <c r="R123" i="2"/>
  <c r="T123" i="2" s="1"/>
  <c r="U123" i="2" s="1"/>
  <c r="R124" i="2"/>
  <c r="T124" i="2" s="1"/>
  <c r="U124" i="2" s="1"/>
  <c r="R125" i="2"/>
  <c r="T125" i="2" s="1"/>
  <c r="U125" i="2" s="1"/>
  <c r="R126" i="2"/>
  <c r="T126" i="2" s="1"/>
  <c r="U126" i="2" s="1"/>
  <c r="R127" i="2"/>
  <c r="T127" i="2" s="1"/>
  <c r="U127" i="2" s="1"/>
  <c r="R128" i="2"/>
  <c r="T128" i="2" s="1"/>
  <c r="U128" i="2" s="1"/>
  <c r="R129" i="2"/>
  <c r="T129" i="2" s="1"/>
  <c r="U129" i="2" s="1"/>
  <c r="R130" i="2"/>
  <c r="T130" i="2" s="1"/>
  <c r="U130" i="2" s="1"/>
  <c r="R131" i="2"/>
  <c r="T131" i="2" s="1"/>
  <c r="U131" i="2" s="1"/>
  <c r="R132" i="2"/>
  <c r="T132" i="2" s="1"/>
  <c r="U132" i="2" s="1"/>
  <c r="R133" i="2"/>
  <c r="T133" i="2" s="1"/>
  <c r="U133" i="2" s="1"/>
  <c r="R134" i="2"/>
  <c r="T134" i="2" s="1"/>
  <c r="U134" i="2" s="1"/>
  <c r="R135" i="2"/>
  <c r="T135" i="2" s="1"/>
  <c r="U135" i="2" s="1"/>
  <c r="R136" i="2"/>
  <c r="T136" i="2" s="1"/>
  <c r="U136" i="2" s="1"/>
  <c r="R137" i="2"/>
  <c r="T137" i="2" s="1"/>
  <c r="U137" i="2" s="1"/>
  <c r="R138" i="2"/>
  <c r="T138" i="2" s="1"/>
  <c r="U138" i="2" s="1"/>
  <c r="R139" i="2"/>
  <c r="T139" i="2" s="1"/>
  <c r="U139" i="2" s="1"/>
  <c r="R140" i="2"/>
  <c r="T140" i="2" s="1"/>
  <c r="U140" i="2" s="1"/>
  <c r="R141" i="2"/>
  <c r="T141" i="2" s="1"/>
  <c r="U141" i="2" s="1"/>
  <c r="R142" i="2"/>
  <c r="T142" i="2" s="1"/>
  <c r="U142" i="2" s="1"/>
  <c r="R143" i="2"/>
  <c r="T143" i="2" s="1"/>
  <c r="U143" i="2" s="1"/>
  <c r="R144" i="2"/>
  <c r="T144" i="2" s="1"/>
  <c r="U144" i="2" s="1"/>
  <c r="R145" i="2"/>
  <c r="T145" i="2" s="1"/>
  <c r="U145" i="2" s="1"/>
  <c r="R146" i="2"/>
  <c r="T146" i="2" s="1"/>
  <c r="U146" i="2" s="1"/>
  <c r="R147" i="2"/>
  <c r="T147" i="2" s="1"/>
  <c r="U147" i="2" s="1"/>
  <c r="R148" i="2"/>
  <c r="T148" i="2" s="1"/>
  <c r="U148" i="2" s="1"/>
  <c r="R149" i="2"/>
  <c r="T149" i="2" s="1"/>
  <c r="U149" i="2" s="1"/>
  <c r="R150" i="2"/>
  <c r="T150" i="2" s="1"/>
  <c r="U150" i="2" s="1"/>
  <c r="R151" i="2"/>
  <c r="T151" i="2" s="1"/>
  <c r="U151" i="2" s="1"/>
  <c r="R152" i="2"/>
  <c r="T152" i="2" s="1"/>
  <c r="U152" i="2" s="1"/>
  <c r="R153" i="2"/>
  <c r="T153" i="2" s="1"/>
  <c r="U153" i="2" s="1"/>
  <c r="R154" i="2"/>
  <c r="T154" i="2" s="1"/>
  <c r="U154" i="2" s="1"/>
  <c r="R155" i="2"/>
  <c r="T155" i="2" s="1"/>
  <c r="U155" i="2" s="1"/>
  <c r="R156" i="2"/>
  <c r="T156" i="2" s="1"/>
  <c r="U156" i="2" s="1"/>
  <c r="R157" i="2"/>
  <c r="T157" i="2" s="1"/>
  <c r="U157" i="2" s="1"/>
  <c r="R158" i="2"/>
  <c r="T158" i="2" s="1"/>
  <c r="U158" i="2" s="1"/>
  <c r="R159" i="2"/>
  <c r="T159" i="2" s="1"/>
  <c r="U159" i="2" s="1"/>
  <c r="R160" i="2"/>
  <c r="T160" i="2" s="1"/>
  <c r="U160" i="2" s="1"/>
  <c r="R161" i="2"/>
  <c r="T161" i="2" s="1"/>
  <c r="U161" i="2" s="1"/>
  <c r="R162" i="2"/>
  <c r="T162" i="2" s="1"/>
  <c r="U162" i="2" s="1"/>
  <c r="R163" i="2"/>
  <c r="T163" i="2" s="1"/>
  <c r="U163" i="2" s="1"/>
  <c r="R164" i="2"/>
  <c r="T164" i="2" s="1"/>
  <c r="U164" i="2" s="1"/>
  <c r="R165" i="2"/>
  <c r="T165" i="2" s="1"/>
  <c r="U165" i="2" s="1"/>
  <c r="R166" i="2"/>
  <c r="T166" i="2" s="1"/>
  <c r="U166" i="2" s="1"/>
  <c r="R167" i="2"/>
  <c r="T167" i="2" s="1"/>
  <c r="U167" i="2" s="1"/>
  <c r="R168" i="2"/>
  <c r="T168" i="2" s="1"/>
  <c r="U168" i="2" s="1"/>
  <c r="R169" i="2"/>
  <c r="T169" i="2" s="1"/>
  <c r="U169" i="2" s="1"/>
  <c r="R170" i="2"/>
  <c r="T170" i="2" s="1"/>
  <c r="U170" i="2" s="1"/>
  <c r="R171" i="2"/>
  <c r="T171" i="2" s="1"/>
  <c r="U171" i="2" s="1"/>
  <c r="R172" i="2"/>
  <c r="T172" i="2" s="1"/>
  <c r="U172" i="2" s="1"/>
  <c r="R173" i="2"/>
  <c r="T173" i="2" s="1"/>
  <c r="U173" i="2" s="1"/>
  <c r="R174" i="2"/>
  <c r="T174" i="2" s="1"/>
  <c r="U174" i="2" s="1"/>
  <c r="R175" i="2"/>
  <c r="T175" i="2" s="1"/>
  <c r="U175" i="2" s="1"/>
  <c r="R176" i="2"/>
  <c r="T176" i="2" s="1"/>
  <c r="U176" i="2" s="1"/>
  <c r="R177" i="2"/>
  <c r="T177" i="2" s="1"/>
  <c r="U177" i="2" s="1"/>
  <c r="R178" i="2"/>
  <c r="T178" i="2" s="1"/>
  <c r="U178" i="2" s="1"/>
  <c r="R179" i="2"/>
  <c r="T179" i="2" s="1"/>
  <c r="U179" i="2" s="1"/>
  <c r="R180" i="2"/>
  <c r="T180" i="2" s="1"/>
  <c r="U180" i="2" s="1"/>
  <c r="R181" i="2"/>
  <c r="T181" i="2" s="1"/>
  <c r="U181" i="2" s="1"/>
  <c r="R182" i="2"/>
  <c r="T182" i="2" s="1"/>
  <c r="U182" i="2" s="1"/>
  <c r="R183" i="2"/>
  <c r="T183" i="2" s="1"/>
  <c r="U183" i="2" s="1"/>
  <c r="R184" i="2"/>
  <c r="T184" i="2" s="1"/>
  <c r="U184" i="2" s="1"/>
  <c r="R185" i="2"/>
  <c r="T185" i="2" s="1"/>
  <c r="U185" i="2" s="1"/>
  <c r="R186" i="2"/>
  <c r="T186" i="2" s="1"/>
  <c r="U186" i="2" s="1"/>
  <c r="R187" i="2"/>
  <c r="T187" i="2" s="1"/>
  <c r="U187" i="2" s="1"/>
  <c r="R188" i="2"/>
  <c r="T188" i="2" s="1"/>
  <c r="U188" i="2" s="1"/>
  <c r="R189" i="2"/>
  <c r="T189" i="2" s="1"/>
  <c r="U189" i="2" s="1"/>
  <c r="R190" i="2"/>
  <c r="T190" i="2" s="1"/>
  <c r="U190" i="2" s="1"/>
  <c r="R191" i="2"/>
  <c r="T191" i="2" s="1"/>
  <c r="U191" i="2" s="1"/>
  <c r="R192" i="2"/>
  <c r="T192" i="2" s="1"/>
  <c r="U192" i="2" s="1"/>
  <c r="R193" i="2"/>
  <c r="T193" i="2" s="1"/>
  <c r="U193" i="2" s="1"/>
  <c r="R194" i="2"/>
  <c r="T194" i="2" s="1"/>
  <c r="U194" i="2" s="1"/>
  <c r="R195" i="2"/>
  <c r="T195" i="2" s="1"/>
  <c r="U195" i="2" s="1"/>
  <c r="R196" i="2"/>
  <c r="T196" i="2" s="1"/>
  <c r="U196" i="2" s="1"/>
  <c r="R197" i="2"/>
  <c r="T197" i="2" s="1"/>
  <c r="U197" i="2" s="1"/>
  <c r="R198" i="2"/>
  <c r="T198" i="2" s="1"/>
  <c r="U198" i="2" s="1"/>
  <c r="R199" i="2"/>
  <c r="T199" i="2" s="1"/>
  <c r="U199" i="2" s="1"/>
  <c r="R200" i="2"/>
  <c r="T200" i="2" s="1"/>
  <c r="U200" i="2" s="1"/>
  <c r="R201" i="2"/>
  <c r="T201" i="2" s="1"/>
  <c r="U201" i="2" s="1"/>
  <c r="R202" i="2"/>
  <c r="T202" i="2" s="1"/>
  <c r="U202" i="2" s="1"/>
  <c r="R203" i="2"/>
  <c r="T203" i="2" s="1"/>
  <c r="U203" i="2" s="1"/>
  <c r="R204" i="2"/>
  <c r="T204" i="2" s="1"/>
  <c r="U204" i="2" s="1"/>
  <c r="R205" i="2"/>
  <c r="T205" i="2" s="1"/>
  <c r="U205" i="2" s="1"/>
  <c r="R206" i="2"/>
  <c r="T206" i="2" s="1"/>
  <c r="U206" i="2" s="1"/>
  <c r="R207" i="2"/>
  <c r="T207" i="2" s="1"/>
  <c r="U207" i="2" s="1"/>
  <c r="R208" i="2"/>
  <c r="T208" i="2" s="1"/>
  <c r="U208" i="2" s="1"/>
  <c r="R209" i="2"/>
  <c r="T209" i="2" s="1"/>
  <c r="U209" i="2" s="1"/>
  <c r="R210" i="2"/>
  <c r="T210" i="2" s="1"/>
  <c r="U210" i="2" s="1"/>
  <c r="R211" i="2"/>
  <c r="T211" i="2" s="1"/>
  <c r="U211" i="2" s="1"/>
  <c r="R212" i="2"/>
  <c r="T212" i="2" s="1"/>
  <c r="U212" i="2" s="1"/>
  <c r="R213" i="2"/>
  <c r="T213" i="2" s="1"/>
  <c r="U213" i="2" s="1"/>
  <c r="R214" i="2"/>
  <c r="T214" i="2" s="1"/>
  <c r="U214" i="2" s="1"/>
  <c r="R215" i="2"/>
  <c r="T215" i="2" s="1"/>
  <c r="U215" i="2" s="1"/>
  <c r="R216" i="2"/>
  <c r="T216" i="2" s="1"/>
  <c r="U216" i="2" s="1"/>
  <c r="R217" i="2"/>
  <c r="T217" i="2" s="1"/>
  <c r="U217" i="2" s="1"/>
  <c r="R218" i="2"/>
  <c r="T218" i="2" s="1"/>
  <c r="U218" i="2" s="1"/>
  <c r="R219" i="2"/>
  <c r="T219" i="2" s="1"/>
  <c r="U219" i="2" s="1"/>
  <c r="R220" i="2"/>
  <c r="T220" i="2" s="1"/>
  <c r="U220" i="2" s="1"/>
  <c r="R221" i="2"/>
  <c r="T221" i="2" s="1"/>
  <c r="U221" i="2" s="1"/>
  <c r="R222" i="2"/>
  <c r="T222" i="2" s="1"/>
  <c r="U222" i="2" s="1"/>
  <c r="R223" i="2"/>
  <c r="T223" i="2" s="1"/>
  <c r="U223" i="2" s="1"/>
  <c r="R224" i="2"/>
  <c r="T224" i="2" s="1"/>
  <c r="U224" i="2" s="1"/>
  <c r="R225" i="2"/>
  <c r="T225" i="2" s="1"/>
  <c r="U225" i="2" s="1"/>
  <c r="R226" i="2"/>
  <c r="T226" i="2" s="1"/>
  <c r="U226" i="2" s="1"/>
  <c r="R227" i="2"/>
  <c r="T227" i="2" s="1"/>
  <c r="U227" i="2" s="1"/>
  <c r="R228" i="2"/>
  <c r="T228" i="2" s="1"/>
  <c r="U228" i="2" s="1"/>
  <c r="R229" i="2"/>
  <c r="T229" i="2" s="1"/>
  <c r="U229" i="2" s="1"/>
  <c r="R230" i="2"/>
  <c r="T230" i="2" s="1"/>
  <c r="U230" i="2" s="1"/>
  <c r="R231" i="2"/>
  <c r="T231" i="2" s="1"/>
  <c r="U231" i="2" s="1"/>
  <c r="R232" i="2"/>
  <c r="T232" i="2" s="1"/>
  <c r="U232" i="2" s="1"/>
  <c r="R233" i="2"/>
  <c r="T233" i="2" s="1"/>
  <c r="U233" i="2" s="1"/>
  <c r="R234" i="2"/>
  <c r="T234" i="2" s="1"/>
  <c r="U234" i="2" s="1"/>
  <c r="R235" i="2"/>
  <c r="T235" i="2" s="1"/>
  <c r="U235" i="2" s="1"/>
  <c r="R236" i="2"/>
  <c r="T236" i="2" s="1"/>
  <c r="U236" i="2" s="1"/>
  <c r="R237" i="2"/>
  <c r="T237" i="2" s="1"/>
  <c r="U237" i="2" s="1"/>
  <c r="R238" i="2"/>
  <c r="T238" i="2" s="1"/>
  <c r="U238" i="2" s="1"/>
  <c r="R239" i="2"/>
  <c r="T239" i="2" s="1"/>
  <c r="U239" i="2" s="1"/>
  <c r="R240" i="2"/>
  <c r="T240" i="2" s="1"/>
  <c r="U240" i="2" s="1"/>
  <c r="R241" i="2"/>
  <c r="T241" i="2" s="1"/>
  <c r="U241" i="2" s="1"/>
  <c r="R242" i="2"/>
  <c r="T242" i="2" s="1"/>
  <c r="U242" i="2" s="1"/>
  <c r="R243" i="2"/>
  <c r="T243" i="2" s="1"/>
  <c r="U243" i="2" s="1"/>
  <c r="R244" i="2"/>
  <c r="T244" i="2" s="1"/>
  <c r="U244" i="2" s="1"/>
  <c r="R245" i="2"/>
  <c r="T245" i="2" s="1"/>
  <c r="U245" i="2" s="1"/>
  <c r="R246" i="2"/>
  <c r="T246" i="2" s="1"/>
  <c r="U246" i="2" s="1"/>
  <c r="R247" i="2"/>
  <c r="T247" i="2" s="1"/>
  <c r="U247" i="2" s="1"/>
  <c r="R248" i="2"/>
  <c r="T248" i="2" s="1"/>
  <c r="U248" i="2" s="1"/>
  <c r="R249" i="2"/>
  <c r="T249" i="2" s="1"/>
  <c r="U249" i="2" s="1"/>
  <c r="R250" i="2"/>
  <c r="T250" i="2" s="1"/>
  <c r="U250" i="2" s="1"/>
  <c r="R251" i="2"/>
  <c r="T251" i="2" s="1"/>
  <c r="U251" i="2" s="1"/>
  <c r="R252" i="2"/>
  <c r="T252" i="2" s="1"/>
  <c r="U252" i="2" s="1"/>
  <c r="R253" i="2"/>
  <c r="T253" i="2" s="1"/>
  <c r="U253" i="2" s="1"/>
  <c r="R254" i="2"/>
  <c r="T254" i="2" s="1"/>
  <c r="U254" i="2" s="1"/>
  <c r="R255" i="2"/>
  <c r="T255" i="2" s="1"/>
  <c r="U255" i="2" s="1"/>
  <c r="R256" i="2"/>
  <c r="T256" i="2" s="1"/>
  <c r="U256" i="2" s="1"/>
  <c r="R257" i="2"/>
  <c r="T257" i="2" s="1"/>
  <c r="U257" i="2" s="1"/>
  <c r="R258" i="2"/>
  <c r="T258" i="2" s="1"/>
  <c r="U258" i="2" s="1"/>
  <c r="R259" i="2"/>
  <c r="T259" i="2" s="1"/>
  <c r="U259" i="2" s="1"/>
  <c r="R260" i="2"/>
  <c r="T260" i="2" s="1"/>
  <c r="U260" i="2" s="1"/>
  <c r="R261" i="2"/>
  <c r="T261" i="2" s="1"/>
  <c r="U261" i="2" s="1"/>
  <c r="R262" i="2"/>
  <c r="T262" i="2" s="1"/>
  <c r="U262" i="2" s="1"/>
  <c r="R263" i="2"/>
  <c r="T263" i="2" s="1"/>
  <c r="U263" i="2" s="1"/>
  <c r="R264" i="2"/>
  <c r="T264" i="2" s="1"/>
  <c r="U264" i="2" s="1"/>
  <c r="R265" i="2"/>
  <c r="T265" i="2" s="1"/>
  <c r="U265" i="2" s="1"/>
  <c r="R266" i="2"/>
  <c r="T266" i="2" s="1"/>
  <c r="U266" i="2" s="1"/>
  <c r="R267" i="2"/>
  <c r="T267" i="2" s="1"/>
  <c r="U267" i="2" s="1"/>
  <c r="R268" i="2"/>
  <c r="T268" i="2" s="1"/>
  <c r="U268" i="2" s="1"/>
  <c r="R269" i="2"/>
  <c r="T269" i="2" s="1"/>
  <c r="U269" i="2" s="1"/>
  <c r="R270" i="2"/>
  <c r="T270" i="2" s="1"/>
  <c r="U270" i="2" s="1"/>
  <c r="R271" i="2"/>
  <c r="T271" i="2" s="1"/>
  <c r="U271" i="2" s="1"/>
  <c r="R272" i="2"/>
  <c r="T272" i="2" s="1"/>
  <c r="U272" i="2" s="1"/>
  <c r="R273" i="2"/>
  <c r="T273" i="2" s="1"/>
  <c r="U273" i="2" s="1"/>
  <c r="R274" i="2"/>
  <c r="T274" i="2" s="1"/>
  <c r="U274" i="2" s="1"/>
  <c r="R275" i="2"/>
  <c r="T275" i="2" s="1"/>
  <c r="U275" i="2" s="1"/>
  <c r="R276" i="2"/>
  <c r="T276" i="2" s="1"/>
  <c r="U276" i="2" s="1"/>
  <c r="R277" i="2"/>
  <c r="T277" i="2" s="1"/>
  <c r="U277" i="2" s="1"/>
  <c r="R278" i="2"/>
  <c r="T278" i="2" s="1"/>
  <c r="U278" i="2" s="1"/>
  <c r="R279" i="2"/>
  <c r="T279" i="2" s="1"/>
  <c r="U279" i="2" s="1"/>
  <c r="R280" i="2"/>
  <c r="T280" i="2" s="1"/>
  <c r="U280" i="2" s="1"/>
  <c r="R281" i="2"/>
  <c r="T281" i="2" s="1"/>
  <c r="U281" i="2" s="1"/>
  <c r="R282" i="2"/>
  <c r="T282" i="2" s="1"/>
  <c r="U282" i="2" s="1"/>
  <c r="R283" i="2"/>
  <c r="T283" i="2" s="1"/>
  <c r="U283" i="2" s="1"/>
  <c r="R284" i="2"/>
  <c r="T284" i="2" s="1"/>
  <c r="U284" i="2" s="1"/>
  <c r="R285" i="2"/>
  <c r="T285" i="2" s="1"/>
  <c r="U285" i="2" s="1"/>
  <c r="R286" i="2"/>
  <c r="T286" i="2" s="1"/>
  <c r="U286" i="2" s="1"/>
  <c r="R287" i="2"/>
  <c r="T287" i="2" s="1"/>
  <c r="U287" i="2" s="1"/>
  <c r="R288" i="2"/>
  <c r="T288" i="2" s="1"/>
  <c r="U288" i="2" s="1"/>
  <c r="R289" i="2"/>
  <c r="T289" i="2" s="1"/>
  <c r="U289" i="2" s="1"/>
  <c r="R290" i="2"/>
  <c r="T290" i="2" s="1"/>
  <c r="U290" i="2" s="1"/>
  <c r="R291" i="2"/>
  <c r="T291" i="2" s="1"/>
  <c r="U291" i="2" s="1"/>
  <c r="R292" i="2"/>
  <c r="T292" i="2" s="1"/>
  <c r="U292" i="2" s="1"/>
  <c r="R293" i="2"/>
  <c r="T293" i="2" s="1"/>
  <c r="U293" i="2" s="1"/>
  <c r="R294" i="2"/>
  <c r="T294" i="2" s="1"/>
  <c r="U294" i="2" s="1"/>
  <c r="R295" i="2"/>
  <c r="T295" i="2" s="1"/>
  <c r="U295" i="2" s="1"/>
  <c r="R296" i="2"/>
  <c r="T296" i="2" s="1"/>
  <c r="U296" i="2" s="1"/>
  <c r="R297" i="2"/>
  <c r="T297" i="2" s="1"/>
  <c r="U297" i="2" s="1"/>
  <c r="R298" i="2"/>
  <c r="T298" i="2" s="1"/>
  <c r="U298" i="2" s="1"/>
  <c r="R299" i="2"/>
  <c r="T299" i="2" s="1"/>
  <c r="U299" i="2" s="1"/>
  <c r="R300" i="2"/>
  <c r="T300" i="2" s="1"/>
  <c r="U300" i="2" s="1"/>
  <c r="R301" i="2"/>
  <c r="T301" i="2" s="1"/>
  <c r="U301" i="2" s="1"/>
  <c r="R302" i="2"/>
  <c r="T302" i="2" s="1"/>
  <c r="U302" i="2" s="1"/>
  <c r="R303" i="2"/>
  <c r="T303" i="2" s="1"/>
  <c r="U303" i="2" s="1"/>
  <c r="R304" i="2"/>
  <c r="T304" i="2" s="1"/>
  <c r="U304" i="2" s="1"/>
  <c r="R305" i="2"/>
  <c r="T305" i="2" s="1"/>
  <c r="U305" i="2" s="1"/>
  <c r="R306" i="2"/>
  <c r="T306" i="2" s="1"/>
  <c r="U306" i="2" s="1"/>
  <c r="R307" i="2"/>
  <c r="T307" i="2" s="1"/>
  <c r="U307" i="2" s="1"/>
  <c r="R308" i="2"/>
  <c r="T308" i="2" s="1"/>
  <c r="U308" i="2" s="1"/>
  <c r="R309" i="2"/>
  <c r="T309" i="2" s="1"/>
  <c r="U309" i="2" s="1"/>
  <c r="R310" i="2"/>
  <c r="T310" i="2" s="1"/>
  <c r="U310" i="2" s="1"/>
  <c r="R311" i="2"/>
  <c r="T311" i="2" s="1"/>
  <c r="U311" i="2" s="1"/>
  <c r="R312" i="2"/>
  <c r="T312" i="2" s="1"/>
  <c r="U312" i="2" s="1"/>
  <c r="R313" i="2"/>
  <c r="T313" i="2" s="1"/>
  <c r="U313" i="2" s="1"/>
  <c r="R314" i="2"/>
  <c r="T314" i="2" s="1"/>
  <c r="U314" i="2" s="1"/>
  <c r="R315" i="2"/>
  <c r="T315" i="2" s="1"/>
  <c r="U315" i="2" s="1"/>
  <c r="R316" i="2"/>
  <c r="T316" i="2" s="1"/>
  <c r="U316" i="2" s="1"/>
  <c r="R317" i="2"/>
  <c r="T317" i="2" s="1"/>
  <c r="U317" i="2" s="1"/>
  <c r="R318" i="2"/>
  <c r="T318" i="2" s="1"/>
  <c r="U318" i="2" s="1"/>
  <c r="R319" i="2"/>
  <c r="T319" i="2" s="1"/>
  <c r="U319" i="2" s="1"/>
  <c r="R320" i="2"/>
  <c r="T320" i="2" s="1"/>
  <c r="U320" i="2" s="1"/>
  <c r="R321" i="2"/>
  <c r="T321" i="2" s="1"/>
  <c r="U321" i="2" s="1"/>
  <c r="R322" i="2"/>
  <c r="T322" i="2" s="1"/>
  <c r="U322" i="2" s="1"/>
  <c r="R323" i="2"/>
  <c r="T323" i="2" s="1"/>
  <c r="U323" i="2" s="1"/>
  <c r="R324" i="2"/>
  <c r="T324" i="2" s="1"/>
  <c r="U324" i="2" s="1"/>
  <c r="R325" i="2"/>
  <c r="T325" i="2" s="1"/>
  <c r="U325" i="2" s="1"/>
  <c r="R326" i="2"/>
  <c r="T326" i="2" s="1"/>
  <c r="U326" i="2" s="1"/>
  <c r="R327" i="2"/>
  <c r="T327" i="2" s="1"/>
  <c r="U327" i="2" s="1"/>
  <c r="R328" i="2"/>
  <c r="T328" i="2" s="1"/>
  <c r="U328" i="2" s="1"/>
  <c r="R329" i="2"/>
  <c r="T329" i="2" s="1"/>
  <c r="U329" i="2" s="1"/>
  <c r="R330" i="2"/>
  <c r="T330" i="2" s="1"/>
  <c r="U330" i="2" s="1"/>
  <c r="R331" i="2"/>
  <c r="T331" i="2" s="1"/>
  <c r="U331" i="2" s="1"/>
  <c r="R332" i="2"/>
  <c r="T332" i="2" s="1"/>
  <c r="U332" i="2" s="1"/>
  <c r="R333" i="2"/>
  <c r="T333" i="2" s="1"/>
  <c r="U333" i="2" s="1"/>
  <c r="R334" i="2"/>
  <c r="T334" i="2" s="1"/>
  <c r="U334" i="2" s="1"/>
  <c r="R335" i="2"/>
  <c r="T335" i="2" s="1"/>
  <c r="U335" i="2" s="1"/>
  <c r="R336" i="2"/>
  <c r="T336" i="2" s="1"/>
  <c r="U336" i="2" s="1"/>
  <c r="R337" i="2"/>
  <c r="T337" i="2" s="1"/>
  <c r="U337" i="2" s="1"/>
  <c r="R338" i="2"/>
  <c r="T338" i="2" s="1"/>
  <c r="U338" i="2" s="1"/>
  <c r="R339" i="2"/>
  <c r="T339" i="2" s="1"/>
  <c r="U339" i="2" s="1"/>
  <c r="R340" i="2"/>
  <c r="T340" i="2" s="1"/>
  <c r="U340" i="2" s="1"/>
  <c r="R341" i="2"/>
  <c r="T341" i="2" s="1"/>
  <c r="U341" i="2" s="1"/>
  <c r="R342" i="2"/>
  <c r="T342" i="2" s="1"/>
  <c r="U342" i="2" s="1"/>
  <c r="R343" i="2"/>
  <c r="T343" i="2" s="1"/>
  <c r="U343" i="2" s="1"/>
  <c r="R344" i="2"/>
  <c r="T344" i="2" s="1"/>
  <c r="U344" i="2" s="1"/>
  <c r="R345" i="2"/>
  <c r="T345" i="2" s="1"/>
  <c r="U345" i="2" s="1"/>
  <c r="R346" i="2"/>
  <c r="T346" i="2" s="1"/>
  <c r="U346" i="2" s="1"/>
  <c r="R347" i="2"/>
  <c r="T347" i="2" s="1"/>
  <c r="U347" i="2" s="1"/>
  <c r="R348" i="2"/>
  <c r="T348" i="2" s="1"/>
  <c r="U348" i="2" s="1"/>
  <c r="R349" i="2"/>
  <c r="T349" i="2" s="1"/>
  <c r="U349" i="2" s="1"/>
  <c r="R350" i="2"/>
  <c r="T350" i="2" s="1"/>
  <c r="U350" i="2" s="1"/>
  <c r="R351" i="2"/>
  <c r="T351" i="2" s="1"/>
  <c r="U351" i="2" s="1"/>
  <c r="R352" i="2"/>
  <c r="T352" i="2" s="1"/>
  <c r="U352" i="2" s="1"/>
  <c r="R353" i="2"/>
  <c r="T353" i="2" s="1"/>
  <c r="U353" i="2" s="1"/>
  <c r="R354" i="2"/>
  <c r="T354" i="2" s="1"/>
  <c r="U354" i="2" s="1"/>
  <c r="R355" i="2"/>
  <c r="T355" i="2" s="1"/>
  <c r="U355" i="2" s="1"/>
  <c r="R356" i="2"/>
  <c r="T356" i="2" s="1"/>
  <c r="U356" i="2" s="1"/>
  <c r="R357" i="2"/>
  <c r="T357" i="2" s="1"/>
  <c r="U357" i="2" s="1"/>
  <c r="R358" i="2"/>
  <c r="T358" i="2" s="1"/>
  <c r="U358" i="2" s="1"/>
  <c r="R359" i="2"/>
  <c r="T359" i="2" s="1"/>
  <c r="U359" i="2" s="1"/>
  <c r="R360" i="2"/>
  <c r="T360" i="2" s="1"/>
  <c r="U360" i="2" s="1"/>
  <c r="R361" i="2"/>
  <c r="T361" i="2" s="1"/>
  <c r="U361" i="2" s="1"/>
  <c r="R362" i="2"/>
  <c r="T362" i="2" s="1"/>
  <c r="U362" i="2" s="1"/>
  <c r="R363" i="2"/>
  <c r="T363" i="2" s="1"/>
  <c r="U363" i="2" s="1"/>
  <c r="R364" i="2"/>
  <c r="T364" i="2" s="1"/>
  <c r="U364" i="2" s="1"/>
  <c r="R365" i="2"/>
  <c r="T365" i="2" s="1"/>
  <c r="U365" i="2" s="1"/>
  <c r="R366" i="2"/>
  <c r="T366" i="2" s="1"/>
  <c r="U366" i="2" s="1"/>
  <c r="R367" i="2"/>
  <c r="T367" i="2" s="1"/>
  <c r="U367" i="2" s="1"/>
  <c r="R368" i="2"/>
  <c r="T368" i="2" s="1"/>
  <c r="U368" i="2" s="1"/>
  <c r="R369" i="2"/>
  <c r="T369" i="2" s="1"/>
  <c r="U369" i="2" s="1"/>
  <c r="R370" i="2"/>
  <c r="T370" i="2" s="1"/>
  <c r="U370" i="2" s="1"/>
  <c r="R371" i="2"/>
  <c r="T371" i="2" s="1"/>
  <c r="U371" i="2" s="1"/>
  <c r="R372" i="2"/>
  <c r="T372" i="2" s="1"/>
  <c r="U372" i="2" s="1"/>
  <c r="R373" i="2"/>
  <c r="T373" i="2" s="1"/>
  <c r="U373" i="2" s="1"/>
  <c r="R374" i="2"/>
  <c r="T374" i="2" s="1"/>
  <c r="U374" i="2" s="1"/>
  <c r="R375" i="2"/>
  <c r="T375" i="2" s="1"/>
  <c r="U375" i="2" s="1"/>
  <c r="R376" i="2"/>
  <c r="T376" i="2" s="1"/>
  <c r="U376" i="2" s="1"/>
  <c r="R377" i="2"/>
  <c r="T377" i="2" s="1"/>
  <c r="U377" i="2" s="1"/>
  <c r="R378" i="2"/>
  <c r="T378" i="2" s="1"/>
  <c r="U378" i="2" s="1"/>
  <c r="R379" i="2"/>
  <c r="T379" i="2" s="1"/>
  <c r="U379" i="2" s="1"/>
  <c r="R380" i="2"/>
  <c r="T380" i="2" s="1"/>
  <c r="U380" i="2" s="1"/>
  <c r="R381" i="2"/>
  <c r="T381" i="2" s="1"/>
  <c r="U381" i="2" s="1"/>
  <c r="R382" i="2"/>
  <c r="T382" i="2" s="1"/>
  <c r="U382" i="2" s="1"/>
  <c r="R383" i="2"/>
  <c r="T383" i="2" s="1"/>
  <c r="U383" i="2" s="1"/>
  <c r="R384" i="2"/>
  <c r="T384" i="2" s="1"/>
  <c r="U384" i="2" s="1"/>
  <c r="R385" i="2"/>
  <c r="T385" i="2" s="1"/>
  <c r="U385" i="2" s="1"/>
  <c r="R386" i="2"/>
  <c r="T386" i="2" s="1"/>
  <c r="U386" i="2" s="1"/>
  <c r="R387" i="2"/>
  <c r="T387" i="2" s="1"/>
  <c r="U387" i="2" s="1"/>
  <c r="R388" i="2"/>
  <c r="T388" i="2" s="1"/>
  <c r="U388" i="2" s="1"/>
  <c r="R389" i="2"/>
  <c r="T389" i="2" s="1"/>
  <c r="U389" i="2" s="1"/>
  <c r="R390" i="2"/>
  <c r="T390" i="2" s="1"/>
  <c r="U390" i="2" s="1"/>
  <c r="R391" i="2"/>
  <c r="T391" i="2" s="1"/>
  <c r="U391" i="2" s="1"/>
  <c r="R392" i="2"/>
  <c r="T392" i="2" s="1"/>
  <c r="U392" i="2" s="1"/>
  <c r="R393" i="2"/>
  <c r="T393" i="2" s="1"/>
  <c r="U393" i="2" s="1"/>
  <c r="R394" i="2"/>
  <c r="T394" i="2" s="1"/>
  <c r="U394" i="2" s="1"/>
  <c r="R395" i="2"/>
  <c r="T395" i="2" s="1"/>
  <c r="U395" i="2" s="1"/>
  <c r="R396" i="2"/>
  <c r="T396" i="2" s="1"/>
  <c r="U396" i="2" s="1"/>
  <c r="R397" i="2"/>
  <c r="T397" i="2" s="1"/>
  <c r="U397" i="2" s="1"/>
  <c r="R398" i="2"/>
  <c r="T398" i="2" s="1"/>
  <c r="U398" i="2" s="1"/>
  <c r="R399" i="2"/>
  <c r="T399" i="2" s="1"/>
  <c r="U399" i="2" s="1"/>
  <c r="R400" i="2"/>
  <c r="T400" i="2" s="1"/>
  <c r="U400" i="2" s="1"/>
  <c r="R401" i="2"/>
  <c r="T401" i="2" s="1"/>
  <c r="U401" i="2" s="1"/>
  <c r="R402" i="2"/>
  <c r="T402" i="2" s="1"/>
  <c r="U402" i="2" s="1"/>
  <c r="R403" i="2"/>
  <c r="T403" i="2" s="1"/>
  <c r="U403" i="2" s="1"/>
  <c r="R404" i="2"/>
  <c r="T404" i="2" s="1"/>
  <c r="U404" i="2" s="1"/>
  <c r="R405" i="2"/>
  <c r="T405" i="2" s="1"/>
  <c r="U405" i="2" s="1"/>
  <c r="R406" i="2"/>
  <c r="T406" i="2" s="1"/>
  <c r="U406" i="2" s="1"/>
  <c r="R407" i="2"/>
  <c r="T407" i="2" s="1"/>
  <c r="U407" i="2" s="1"/>
  <c r="R408" i="2"/>
  <c r="T408" i="2" s="1"/>
  <c r="U408" i="2" s="1"/>
  <c r="R409" i="2"/>
  <c r="T409" i="2" s="1"/>
  <c r="U409" i="2" s="1"/>
  <c r="R410" i="2"/>
  <c r="T410" i="2" s="1"/>
  <c r="U410" i="2" s="1"/>
  <c r="R411" i="2"/>
  <c r="T411" i="2" s="1"/>
  <c r="U411" i="2" s="1"/>
  <c r="R412" i="2"/>
  <c r="T412" i="2" s="1"/>
  <c r="U412" i="2" s="1"/>
  <c r="R413" i="2"/>
  <c r="T413" i="2" s="1"/>
  <c r="U413" i="2" s="1"/>
  <c r="R414" i="2"/>
  <c r="T414" i="2" s="1"/>
  <c r="U414" i="2" s="1"/>
  <c r="R415" i="2"/>
  <c r="T415" i="2" s="1"/>
  <c r="U415" i="2" s="1"/>
  <c r="R416" i="2"/>
  <c r="T416" i="2" s="1"/>
  <c r="U416" i="2" s="1"/>
  <c r="R417" i="2"/>
  <c r="T417" i="2" s="1"/>
  <c r="U417" i="2" s="1"/>
  <c r="R418" i="2"/>
  <c r="T418" i="2" s="1"/>
  <c r="U418" i="2" s="1"/>
  <c r="R419" i="2"/>
  <c r="T419" i="2" s="1"/>
  <c r="U419" i="2" s="1"/>
  <c r="R420" i="2"/>
  <c r="T420" i="2" s="1"/>
  <c r="U420" i="2" s="1"/>
  <c r="R421" i="2"/>
  <c r="T421" i="2" s="1"/>
  <c r="U421" i="2" s="1"/>
  <c r="R422" i="2"/>
  <c r="T422" i="2" s="1"/>
  <c r="U422" i="2" s="1"/>
  <c r="R423" i="2"/>
  <c r="T423" i="2" s="1"/>
  <c r="U423" i="2" s="1"/>
  <c r="R424" i="2"/>
  <c r="T424" i="2" s="1"/>
  <c r="U424" i="2" s="1"/>
  <c r="R425" i="2"/>
  <c r="T425" i="2" s="1"/>
  <c r="U425" i="2" s="1"/>
  <c r="R426" i="2"/>
  <c r="T426" i="2" s="1"/>
  <c r="U426" i="2" s="1"/>
  <c r="R427" i="2"/>
  <c r="T427" i="2" s="1"/>
  <c r="U427" i="2" s="1"/>
  <c r="R428" i="2"/>
  <c r="T428" i="2" s="1"/>
  <c r="U428" i="2" s="1"/>
  <c r="R429" i="2"/>
  <c r="T429" i="2" s="1"/>
  <c r="U429" i="2" s="1"/>
  <c r="R430" i="2"/>
  <c r="T430" i="2" s="1"/>
  <c r="U430" i="2" s="1"/>
  <c r="R431" i="2"/>
  <c r="T431" i="2" s="1"/>
  <c r="U431" i="2" s="1"/>
  <c r="R432" i="2"/>
  <c r="T432" i="2" s="1"/>
  <c r="U432" i="2" s="1"/>
  <c r="R433" i="2"/>
  <c r="T433" i="2" s="1"/>
  <c r="U433" i="2" s="1"/>
  <c r="R434" i="2"/>
  <c r="T434" i="2" s="1"/>
  <c r="U434" i="2" s="1"/>
  <c r="R435" i="2"/>
  <c r="T435" i="2" s="1"/>
  <c r="U435" i="2" s="1"/>
  <c r="R436" i="2"/>
  <c r="T436" i="2" s="1"/>
  <c r="U436" i="2" s="1"/>
  <c r="R437" i="2"/>
  <c r="T437" i="2" s="1"/>
  <c r="U437" i="2" s="1"/>
  <c r="R438" i="2"/>
  <c r="T438" i="2" s="1"/>
  <c r="U438" i="2" s="1"/>
  <c r="R439" i="2"/>
  <c r="T439" i="2" s="1"/>
  <c r="U439" i="2" s="1"/>
  <c r="R440" i="2"/>
  <c r="T440" i="2" s="1"/>
  <c r="U440" i="2" s="1"/>
  <c r="R441" i="2"/>
  <c r="T441" i="2" s="1"/>
  <c r="U441" i="2" s="1"/>
  <c r="R442" i="2"/>
  <c r="T442" i="2" s="1"/>
  <c r="U442" i="2" s="1"/>
  <c r="R443" i="2"/>
  <c r="T443" i="2" s="1"/>
  <c r="U443" i="2" s="1"/>
  <c r="R444" i="2"/>
  <c r="T444" i="2" s="1"/>
  <c r="U444" i="2" s="1"/>
  <c r="R445" i="2"/>
  <c r="T445" i="2" s="1"/>
  <c r="U445" i="2" s="1"/>
  <c r="R446" i="2"/>
  <c r="T446" i="2" s="1"/>
  <c r="U446" i="2" s="1"/>
  <c r="R447" i="2"/>
  <c r="T447" i="2" s="1"/>
  <c r="U447" i="2" s="1"/>
  <c r="R448" i="2"/>
  <c r="T448" i="2" s="1"/>
  <c r="U448" i="2" s="1"/>
  <c r="R449" i="2"/>
  <c r="T449" i="2" s="1"/>
  <c r="U449" i="2" s="1"/>
  <c r="R450" i="2"/>
  <c r="T450" i="2" s="1"/>
  <c r="U450" i="2" s="1"/>
  <c r="R451" i="2"/>
  <c r="T451" i="2" s="1"/>
  <c r="U451" i="2" s="1"/>
  <c r="R452" i="2"/>
  <c r="T452" i="2" s="1"/>
  <c r="U452" i="2" s="1"/>
  <c r="R453" i="2"/>
  <c r="T453" i="2" s="1"/>
  <c r="U453" i="2" s="1"/>
  <c r="R454" i="2"/>
  <c r="T454" i="2" s="1"/>
  <c r="U454" i="2" s="1"/>
  <c r="R455" i="2"/>
  <c r="T455" i="2" s="1"/>
  <c r="U455" i="2" s="1"/>
  <c r="R456" i="2"/>
  <c r="T456" i="2" s="1"/>
  <c r="U456" i="2" s="1"/>
  <c r="R457" i="2"/>
  <c r="T457" i="2" s="1"/>
  <c r="U457" i="2" s="1"/>
  <c r="R458" i="2"/>
  <c r="T458" i="2" s="1"/>
  <c r="U458" i="2" s="1"/>
  <c r="R459" i="2"/>
  <c r="T459" i="2" s="1"/>
  <c r="U459" i="2" s="1"/>
  <c r="R460" i="2"/>
  <c r="T460" i="2" s="1"/>
  <c r="U460" i="2" s="1"/>
  <c r="R461" i="2"/>
  <c r="T461" i="2" s="1"/>
  <c r="U461" i="2" s="1"/>
  <c r="R462" i="2"/>
  <c r="T462" i="2" s="1"/>
  <c r="U462" i="2" s="1"/>
  <c r="R463" i="2"/>
  <c r="T463" i="2" s="1"/>
  <c r="U463" i="2" s="1"/>
  <c r="R464" i="2"/>
  <c r="T464" i="2" s="1"/>
  <c r="U464" i="2" s="1"/>
  <c r="R465" i="2"/>
  <c r="T465" i="2" s="1"/>
  <c r="U465" i="2" s="1"/>
  <c r="R466" i="2"/>
  <c r="T466" i="2" s="1"/>
  <c r="U466" i="2" s="1"/>
  <c r="R467" i="2"/>
  <c r="T467" i="2" s="1"/>
  <c r="U467" i="2" s="1"/>
  <c r="R468" i="2"/>
  <c r="T468" i="2" s="1"/>
  <c r="U468" i="2" s="1"/>
  <c r="R469" i="2"/>
  <c r="T469" i="2" s="1"/>
  <c r="U469" i="2" s="1"/>
  <c r="R470" i="2"/>
  <c r="T470" i="2" s="1"/>
  <c r="U470" i="2" s="1"/>
  <c r="R471" i="2"/>
  <c r="T471" i="2" s="1"/>
  <c r="U471" i="2" s="1"/>
  <c r="R472" i="2"/>
  <c r="T472" i="2" s="1"/>
  <c r="U472" i="2" s="1"/>
  <c r="R473" i="2"/>
  <c r="T473" i="2" s="1"/>
  <c r="U473" i="2" s="1"/>
  <c r="R474" i="2"/>
  <c r="T474" i="2" s="1"/>
  <c r="U474" i="2" s="1"/>
  <c r="R475" i="2"/>
  <c r="T475" i="2" s="1"/>
  <c r="U475" i="2" s="1"/>
  <c r="R476" i="2"/>
  <c r="T476" i="2" s="1"/>
  <c r="U476" i="2" s="1"/>
  <c r="R477" i="2"/>
  <c r="T477" i="2" s="1"/>
  <c r="U477" i="2" s="1"/>
  <c r="R478" i="2"/>
  <c r="T478" i="2" s="1"/>
  <c r="U478" i="2" s="1"/>
  <c r="R479" i="2"/>
  <c r="T479" i="2" s="1"/>
  <c r="U479" i="2" s="1"/>
  <c r="R480" i="2"/>
  <c r="T480" i="2" s="1"/>
  <c r="U480" i="2" s="1"/>
  <c r="R481" i="2"/>
  <c r="T481" i="2" s="1"/>
  <c r="U481" i="2" s="1"/>
  <c r="R482" i="2"/>
  <c r="T482" i="2" s="1"/>
  <c r="U482" i="2" s="1"/>
  <c r="R483" i="2"/>
  <c r="T483" i="2" s="1"/>
  <c r="U483" i="2" s="1"/>
  <c r="R484" i="2"/>
  <c r="T484" i="2" s="1"/>
  <c r="U484" i="2" s="1"/>
  <c r="R485" i="2"/>
  <c r="T485" i="2" s="1"/>
  <c r="U485" i="2" s="1"/>
  <c r="R486" i="2"/>
  <c r="T486" i="2" s="1"/>
  <c r="U486" i="2" s="1"/>
  <c r="R487" i="2"/>
  <c r="T487" i="2" s="1"/>
  <c r="U487" i="2" s="1"/>
  <c r="R488" i="2"/>
  <c r="T488" i="2" s="1"/>
  <c r="U488" i="2" s="1"/>
  <c r="R489" i="2"/>
  <c r="T489" i="2" s="1"/>
  <c r="U489" i="2" s="1"/>
  <c r="R490" i="2"/>
  <c r="T490" i="2" s="1"/>
  <c r="U490" i="2" s="1"/>
  <c r="R491" i="2"/>
  <c r="T491" i="2" s="1"/>
  <c r="U491" i="2" s="1"/>
  <c r="R492" i="2"/>
  <c r="T492" i="2" s="1"/>
  <c r="U492" i="2" s="1"/>
  <c r="R493" i="2"/>
  <c r="T493" i="2" s="1"/>
  <c r="U493" i="2" s="1"/>
  <c r="R494" i="2"/>
  <c r="T494" i="2" s="1"/>
  <c r="U494" i="2" s="1"/>
  <c r="R495" i="2"/>
  <c r="T495" i="2" s="1"/>
  <c r="U495" i="2" s="1"/>
  <c r="R496" i="2"/>
  <c r="T496" i="2" s="1"/>
  <c r="U496" i="2" s="1"/>
  <c r="R497" i="2"/>
  <c r="T497" i="2" s="1"/>
  <c r="U497" i="2" s="1"/>
  <c r="R498" i="2"/>
  <c r="T498" i="2" s="1"/>
  <c r="U498" i="2" s="1"/>
  <c r="R499" i="2"/>
  <c r="T499" i="2" s="1"/>
  <c r="U499" i="2" s="1"/>
  <c r="R500" i="2"/>
  <c r="T500" i="2" s="1"/>
  <c r="U500" i="2" s="1"/>
  <c r="R501" i="2"/>
  <c r="T501" i="2" s="1"/>
  <c r="U501" i="2" s="1"/>
  <c r="R502" i="2"/>
  <c r="T502" i="2" s="1"/>
  <c r="U502" i="2" s="1"/>
  <c r="R503" i="2"/>
  <c r="T503" i="2" s="1"/>
  <c r="U503" i="2" s="1"/>
  <c r="R504" i="2"/>
  <c r="T504" i="2" s="1"/>
  <c r="U504" i="2" s="1"/>
  <c r="R505" i="2"/>
  <c r="T505" i="2" s="1"/>
  <c r="U505" i="2" s="1"/>
  <c r="R506" i="2"/>
  <c r="T506" i="2" s="1"/>
  <c r="U506" i="2" s="1"/>
  <c r="R507" i="2"/>
  <c r="T507" i="2" s="1"/>
  <c r="U507" i="2" s="1"/>
  <c r="R508" i="2"/>
  <c r="T508" i="2" s="1"/>
  <c r="U508" i="2" s="1"/>
  <c r="R509" i="2"/>
  <c r="T509" i="2" s="1"/>
  <c r="U509" i="2" s="1"/>
  <c r="R510" i="2"/>
  <c r="T510" i="2" s="1"/>
  <c r="U510" i="2" s="1"/>
  <c r="R511" i="2"/>
  <c r="T511" i="2" s="1"/>
  <c r="U511" i="2" s="1"/>
  <c r="R512" i="2"/>
  <c r="T512" i="2" s="1"/>
  <c r="U512" i="2" s="1"/>
  <c r="R513" i="2"/>
  <c r="T513" i="2" s="1"/>
  <c r="U513" i="2" s="1"/>
  <c r="R514" i="2"/>
  <c r="T514" i="2" s="1"/>
  <c r="U514" i="2" s="1"/>
  <c r="R515" i="2"/>
  <c r="T515" i="2" s="1"/>
  <c r="U515" i="2" s="1"/>
  <c r="R516" i="2"/>
  <c r="T516" i="2" s="1"/>
  <c r="U516" i="2" s="1"/>
  <c r="R517" i="2"/>
  <c r="T517" i="2" s="1"/>
  <c r="U517" i="2" s="1"/>
  <c r="R518" i="2"/>
  <c r="T518" i="2" s="1"/>
  <c r="U518" i="2" s="1"/>
  <c r="R519" i="2"/>
  <c r="T519" i="2" s="1"/>
  <c r="U519" i="2" s="1"/>
  <c r="R520" i="2"/>
  <c r="T520" i="2" s="1"/>
  <c r="U520" i="2" s="1"/>
  <c r="R521" i="2"/>
  <c r="T521" i="2" s="1"/>
  <c r="U521" i="2" s="1"/>
  <c r="R522" i="2"/>
  <c r="T522" i="2" s="1"/>
  <c r="U522" i="2" s="1"/>
  <c r="R523" i="2"/>
  <c r="T523" i="2" s="1"/>
  <c r="U523" i="2" s="1"/>
  <c r="R524" i="2"/>
  <c r="T524" i="2" s="1"/>
  <c r="U524" i="2" s="1"/>
  <c r="R525" i="2"/>
  <c r="T525" i="2" s="1"/>
  <c r="U525" i="2" s="1"/>
  <c r="R526" i="2"/>
  <c r="T526" i="2" s="1"/>
  <c r="U526" i="2" s="1"/>
  <c r="R527" i="2"/>
  <c r="T527" i="2" s="1"/>
  <c r="U527" i="2" s="1"/>
  <c r="R528" i="2"/>
  <c r="T528" i="2" s="1"/>
  <c r="U528" i="2" s="1"/>
  <c r="R529" i="2"/>
  <c r="T529" i="2" s="1"/>
  <c r="U529" i="2" s="1"/>
  <c r="R530" i="2"/>
  <c r="T530" i="2" s="1"/>
  <c r="U530" i="2" s="1"/>
  <c r="R531" i="2"/>
  <c r="T531" i="2" s="1"/>
  <c r="U531" i="2" s="1"/>
  <c r="R532" i="2"/>
  <c r="T532" i="2" s="1"/>
  <c r="U532" i="2" s="1"/>
  <c r="R533" i="2"/>
  <c r="T533" i="2" s="1"/>
  <c r="U533" i="2" s="1"/>
  <c r="R534" i="2"/>
  <c r="T534" i="2" s="1"/>
  <c r="U534" i="2" s="1"/>
  <c r="R535" i="2"/>
  <c r="T535" i="2" s="1"/>
  <c r="U535" i="2" s="1"/>
  <c r="R536" i="2"/>
  <c r="T536" i="2" s="1"/>
  <c r="U536" i="2" s="1"/>
  <c r="R537" i="2"/>
  <c r="T537" i="2" s="1"/>
  <c r="U537" i="2" s="1"/>
  <c r="R538" i="2"/>
  <c r="T538" i="2" s="1"/>
  <c r="U538" i="2" s="1"/>
  <c r="R539" i="2"/>
  <c r="T539" i="2" s="1"/>
  <c r="U539" i="2" s="1"/>
  <c r="R540" i="2"/>
  <c r="T540" i="2" s="1"/>
  <c r="U540" i="2" s="1"/>
  <c r="R541" i="2"/>
  <c r="T541" i="2" s="1"/>
  <c r="U541" i="2" s="1"/>
  <c r="R542" i="2"/>
  <c r="T542" i="2" s="1"/>
  <c r="U542" i="2" s="1"/>
  <c r="R543" i="2"/>
  <c r="T543" i="2" s="1"/>
  <c r="U543" i="2" s="1"/>
  <c r="R544" i="2"/>
  <c r="T544" i="2" s="1"/>
  <c r="U544" i="2" s="1"/>
  <c r="R545" i="2"/>
  <c r="T545" i="2" s="1"/>
  <c r="U545" i="2" s="1"/>
  <c r="R546" i="2"/>
  <c r="T546" i="2" s="1"/>
  <c r="U546" i="2" s="1"/>
  <c r="R547" i="2"/>
  <c r="T547" i="2" s="1"/>
  <c r="U547" i="2" s="1"/>
  <c r="R548" i="2"/>
  <c r="T548" i="2" s="1"/>
  <c r="U548" i="2" s="1"/>
  <c r="R549" i="2"/>
  <c r="T549" i="2" s="1"/>
  <c r="U549" i="2" s="1"/>
  <c r="R550" i="2"/>
  <c r="T550" i="2" s="1"/>
  <c r="U550" i="2" s="1"/>
  <c r="R551" i="2"/>
  <c r="T551" i="2" s="1"/>
  <c r="U551" i="2" s="1"/>
  <c r="R552" i="2"/>
  <c r="T552" i="2" s="1"/>
  <c r="U552" i="2" s="1"/>
  <c r="R553" i="2"/>
  <c r="T553" i="2" s="1"/>
  <c r="U553" i="2" s="1"/>
  <c r="R554" i="2"/>
  <c r="T554" i="2" s="1"/>
  <c r="U554" i="2" s="1"/>
  <c r="R555" i="2"/>
  <c r="T555" i="2" s="1"/>
  <c r="U555" i="2" s="1"/>
  <c r="R556" i="2"/>
  <c r="T556" i="2" s="1"/>
  <c r="U556" i="2" s="1"/>
  <c r="R557" i="2"/>
  <c r="T557" i="2" s="1"/>
  <c r="U557" i="2" s="1"/>
  <c r="R558" i="2"/>
  <c r="T558" i="2" s="1"/>
  <c r="U558" i="2" s="1"/>
  <c r="R559" i="2"/>
  <c r="T559" i="2" s="1"/>
  <c r="U559" i="2" s="1"/>
  <c r="R560" i="2"/>
  <c r="T560" i="2" s="1"/>
  <c r="U560" i="2" s="1"/>
  <c r="R561" i="2"/>
  <c r="T561" i="2" s="1"/>
  <c r="U561" i="2" s="1"/>
  <c r="R562" i="2"/>
  <c r="T562" i="2" s="1"/>
  <c r="U562" i="2" s="1"/>
  <c r="R563" i="2"/>
  <c r="T563" i="2" s="1"/>
  <c r="U563" i="2" s="1"/>
  <c r="R564" i="2"/>
  <c r="T564" i="2" s="1"/>
  <c r="U564" i="2" s="1"/>
  <c r="R565" i="2"/>
  <c r="T565" i="2" s="1"/>
  <c r="U565" i="2" s="1"/>
  <c r="R566" i="2"/>
  <c r="T566" i="2" s="1"/>
  <c r="U566" i="2" s="1"/>
  <c r="R567" i="2"/>
  <c r="T567" i="2" s="1"/>
  <c r="U567" i="2" s="1"/>
  <c r="R568" i="2"/>
  <c r="T568" i="2" s="1"/>
  <c r="U568" i="2" s="1"/>
  <c r="R569" i="2"/>
  <c r="T569" i="2" s="1"/>
  <c r="U569" i="2" s="1"/>
  <c r="R570" i="2"/>
  <c r="T570" i="2" s="1"/>
  <c r="U570" i="2" s="1"/>
  <c r="R571" i="2"/>
  <c r="T571" i="2" s="1"/>
  <c r="U571" i="2" s="1"/>
  <c r="R572" i="2"/>
  <c r="T572" i="2" s="1"/>
  <c r="U572" i="2" s="1"/>
  <c r="R573" i="2"/>
  <c r="T573" i="2" s="1"/>
  <c r="U573" i="2" s="1"/>
  <c r="R574" i="2"/>
  <c r="T574" i="2" s="1"/>
  <c r="U574" i="2" s="1"/>
  <c r="R575" i="2"/>
  <c r="T575" i="2" s="1"/>
  <c r="U575" i="2" s="1"/>
  <c r="R576" i="2"/>
  <c r="T576" i="2" s="1"/>
  <c r="U576" i="2" s="1"/>
  <c r="R577" i="2"/>
  <c r="T577" i="2" s="1"/>
  <c r="U577" i="2" s="1"/>
  <c r="R578" i="2"/>
  <c r="T578" i="2" s="1"/>
  <c r="U578" i="2" s="1"/>
  <c r="R579" i="2"/>
  <c r="T579" i="2" s="1"/>
  <c r="U579" i="2" s="1"/>
  <c r="R580" i="2"/>
  <c r="T580" i="2" s="1"/>
  <c r="U580" i="2" s="1"/>
  <c r="R581" i="2"/>
  <c r="T581" i="2" s="1"/>
  <c r="U581" i="2" s="1"/>
  <c r="R582" i="2"/>
  <c r="T582" i="2" s="1"/>
  <c r="U582" i="2" s="1"/>
  <c r="R583" i="2"/>
  <c r="T583" i="2" s="1"/>
  <c r="U583" i="2" s="1"/>
  <c r="R584" i="2"/>
  <c r="T584" i="2" s="1"/>
  <c r="U584" i="2" s="1"/>
  <c r="R585" i="2"/>
  <c r="T585" i="2" s="1"/>
  <c r="U585" i="2" s="1"/>
  <c r="R586" i="2"/>
  <c r="T586" i="2" s="1"/>
  <c r="U586" i="2" s="1"/>
  <c r="R587" i="2"/>
  <c r="T587" i="2" s="1"/>
  <c r="U587" i="2" s="1"/>
  <c r="R588" i="2"/>
  <c r="T588" i="2" s="1"/>
  <c r="U588" i="2" s="1"/>
  <c r="R589" i="2"/>
  <c r="T589" i="2" s="1"/>
  <c r="U589" i="2" s="1"/>
  <c r="R590" i="2"/>
  <c r="T590" i="2" s="1"/>
  <c r="U590" i="2" s="1"/>
  <c r="R591" i="2"/>
  <c r="T591" i="2" s="1"/>
  <c r="U591" i="2" s="1"/>
  <c r="R592" i="2"/>
  <c r="T592" i="2" s="1"/>
  <c r="U592" i="2" s="1"/>
  <c r="R593" i="2"/>
  <c r="T593" i="2" s="1"/>
  <c r="U593" i="2" s="1"/>
  <c r="R594" i="2"/>
  <c r="T594" i="2" s="1"/>
  <c r="U594" i="2" s="1"/>
  <c r="R595" i="2"/>
  <c r="T595" i="2" s="1"/>
  <c r="U595" i="2" s="1"/>
  <c r="R596" i="2"/>
  <c r="T596" i="2" s="1"/>
  <c r="U596" i="2" s="1"/>
  <c r="R597" i="2"/>
  <c r="T597" i="2" s="1"/>
  <c r="U597" i="2" s="1"/>
  <c r="R598" i="2"/>
  <c r="T598" i="2" s="1"/>
  <c r="U598" i="2" s="1"/>
  <c r="R599" i="2"/>
  <c r="T599" i="2" s="1"/>
  <c r="U599" i="2" s="1"/>
  <c r="R600" i="2"/>
  <c r="T600" i="2" s="1"/>
  <c r="U600" i="2" s="1"/>
  <c r="R601" i="2"/>
  <c r="T601" i="2" s="1"/>
  <c r="U601" i="2" s="1"/>
  <c r="R602" i="2"/>
  <c r="T602" i="2" s="1"/>
  <c r="U602" i="2" s="1"/>
  <c r="R603" i="2"/>
  <c r="T603" i="2" s="1"/>
  <c r="U603" i="2" s="1"/>
  <c r="R604" i="2"/>
  <c r="T604" i="2" s="1"/>
  <c r="U604" i="2" s="1"/>
  <c r="R605" i="2"/>
  <c r="T605" i="2" s="1"/>
  <c r="U605" i="2" s="1"/>
  <c r="R606" i="2"/>
  <c r="T606" i="2" s="1"/>
  <c r="U606" i="2" s="1"/>
  <c r="R607" i="2"/>
  <c r="T607" i="2" s="1"/>
  <c r="U607" i="2" s="1"/>
  <c r="R608" i="2"/>
  <c r="T608" i="2" s="1"/>
  <c r="U608" i="2" s="1"/>
  <c r="R609" i="2"/>
  <c r="T609" i="2" s="1"/>
  <c r="U609" i="2" s="1"/>
  <c r="R610" i="2"/>
  <c r="T610" i="2" s="1"/>
  <c r="U610" i="2" s="1"/>
  <c r="R611" i="2"/>
  <c r="T611" i="2" s="1"/>
  <c r="U611" i="2" s="1"/>
  <c r="R612" i="2"/>
  <c r="T612" i="2" s="1"/>
  <c r="U612" i="2" s="1"/>
  <c r="R613" i="2"/>
  <c r="T613" i="2" s="1"/>
  <c r="U613" i="2" s="1"/>
  <c r="R614" i="2"/>
  <c r="T614" i="2" s="1"/>
  <c r="U614" i="2" s="1"/>
  <c r="R615" i="2"/>
  <c r="T615" i="2" s="1"/>
  <c r="U615" i="2" s="1"/>
  <c r="R616" i="2"/>
  <c r="T616" i="2" s="1"/>
  <c r="U616" i="2" s="1"/>
  <c r="R617" i="2"/>
  <c r="T617" i="2" s="1"/>
  <c r="U617" i="2" s="1"/>
  <c r="R618" i="2"/>
  <c r="T618" i="2" s="1"/>
  <c r="U618" i="2" s="1"/>
  <c r="R619" i="2"/>
  <c r="T619" i="2" s="1"/>
  <c r="U619" i="2" s="1"/>
  <c r="R620" i="2"/>
  <c r="T620" i="2" s="1"/>
  <c r="U620" i="2" s="1"/>
  <c r="R621" i="2"/>
  <c r="T621" i="2" s="1"/>
  <c r="U621" i="2" s="1"/>
  <c r="R622" i="2"/>
  <c r="T622" i="2" s="1"/>
  <c r="U622" i="2" s="1"/>
  <c r="R623" i="2"/>
  <c r="T623" i="2" s="1"/>
  <c r="U623" i="2" s="1"/>
  <c r="R624" i="2"/>
  <c r="T624" i="2" s="1"/>
  <c r="U624" i="2" s="1"/>
  <c r="R625" i="2"/>
  <c r="T625" i="2" s="1"/>
  <c r="U625" i="2" s="1"/>
  <c r="R626" i="2"/>
  <c r="T626" i="2" s="1"/>
  <c r="U626" i="2" s="1"/>
  <c r="R627" i="2"/>
  <c r="T627" i="2" s="1"/>
  <c r="U627" i="2" s="1"/>
  <c r="R628" i="2"/>
  <c r="T628" i="2" s="1"/>
  <c r="U628" i="2" s="1"/>
  <c r="R629" i="2"/>
  <c r="T629" i="2" s="1"/>
  <c r="U629" i="2" s="1"/>
  <c r="R630" i="2"/>
  <c r="T630" i="2" s="1"/>
  <c r="U630" i="2" s="1"/>
  <c r="R631" i="2"/>
  <c r="T631" i="2" s="1"/>
  <c r="U631" i="2" s="1"/>
  <c r="R632" i="2"/>
  <c r="T632" i="2" s="1"/>
  <c r="U632" i="2" s="1"/>
  <c r="R633" i="2"/>
  <c r="T633" i="2" s="1"/>
  <c r="U633" i="2" s="1"/>
  <c r="R634" i="2"/>
  <c r="T634" i="2" s="1"/>
  <c r="U634" i="2" s="1"/>
  <c r="R635" i="2"/>
  <c r="T635" i="2" s="1"/>
  <c r="U635" i="2" s="1"/>
  <c r="R636" i="2"/>
  <c r="T636" i="2" s="1"/>
  <c r="U636" i="2" s="1"/>
  <c r="R637" i="2"/>
  <c r="T637" i="2" s="1"/>
  <c r="U637" i="2" s="1"/>
  <c r="R638" i="2"/>
  <c r="T638" i="2" s="1"/>
  <c r="U638" i="2" s="1"/>
  <c r="R639" i="2"/>
  <c r="T639" i="2" s="1"/>
  <c r="U639" i="2" s="1"/>
  <c r="R640" i="2"/>
  <c r="T640" i="2" s="1"/>
  <c r="U640" i="2" s="1"/>
  <c r="R641" i="2"/>
  <c r="T641" i="2" s="1"/>
  <c r="U641" i="2" s="1"/>
  <c r="R642" i="2"/>
  <c r="T642" i="2" s="1"/>
  <c r="U642" i="2" s="1"/>
  <c r="R643" i="2"/>
  <c r="T643" i="2" s="1"/>
  <c r="U643" i="2" s="1"/>
  <c r="R644" i="2"/>
  <c r="T644" i="2" s="1"/>
  <c r="U644" i="2" s="1"/>
  <c r="R645" i="2"/>
  <c r="T645" i="2" s="1"/>
  <c r="U645" i="2" s="1"/>
  <c r="R646" i="2"/>
  <c r="T646" i="2" s="1"/>
  <c r="U646" i="2" s="1"/>
  <c r="R647" i="2"/>
  <c r="T647" i="2" s="1"/>
  <c r="U647" i="2" s="1"/>
  <c r="R648" i="2"/>
  <c r="T648" i="2" s="1"/>
  <c r="U648" i="2" s="1"/>
  <c r="R649" i="2"/>
  <c r="T649" i="2" s="1"/>
  <c r="U649" i="2" s="1"/>
  <c r="R650" i="2"/>
  <c r="T650" i="2" s="1"/>
  <c r="U650" i="2" s="1"/>
  <c r="R651" i="2"/>
  <c r="T651" i="2" s="1"/>
  <c r="U651" i="2" s="1"/>
  <c r="R652" i="2"/>
  <c r="T652" i="2" s="1"/>
  <c r="U652" i="2" s="1"/>
  <c r="R653" i="2"/>
  <c r="T653" i="2" s="1"/>
  <c r="U653" i="2" s="1"/>
  <c r="R654" i="2"/>
  <c r="T654" i="2" s="1"/>
  <c r="U654" i="2" s="1"/>
  <c r="R655" i="2"/>
  <c r="T655" i="2" s="1"/>
  <c r="U655" i="2" s="1"/>
  <c r="R656" i="2"/>
  <c r="T656" i="2" s="1"/>
  <c r="U656" i="2" s="1"/>
  <c r="R657" i="2"/>
  <c r="T657" i="2" s="1"/>
  <c r="U657" i="2" s="1"/>
  <c r="R658" i="2"/>
  <c r="T658" i="2" s="1"/>
  <c r="U658" i="2" s="1"/>
  <c r="R659" i="2"/>
  <c r="T659" i="2" s="1"/>
  <c r="U659" i="2" s="1"/>
  <c r="R660" i="2"/>
  <c r="T660" i="2" s="1"/>
  <c r="U660" i="2" s="1"/>
  <c r="R661" i="2"/>
  <c r="T661" i="2" s="1"/>
  <c r="U661" i="2" s="1"/>
  <c r="R662" i="2"/>
  <c r="T662" i="2" s="1"/>
  <c r="U662" i="2" s="1"/>
  <c r="R663" i="2"/>
  <c r="T663" i="2" s="1"/>
  <c r="U663" i="2" s="1"/>
  <c r="R664" i="2"/>
  <c r="T664" i="2" s="1"/>
  <c r="U664" i="2" s="1"/>
  <c r="R665" i="2"/>
  <c r="T665" i="2" s="1"/>
  <c r="U665" i="2" s="1"/>
  <c r="R666" i="2"/>
  <c r="T666" i="2" s="1"/>
  <c r="U666" i="2" s="1"/>
  <c r="R667" i="2"/>
  <c r="T667" i="2" s="1"/>
  <c r="U667" i="2" s="1"/>
  <c r="R668" i="2"/>
  <c r="T668" i="2" s="1"/>
  <c r="U668" i="2" s="1"/>
  <c r="R669" i="2"/>
  <c r="T669" i="2" s="1"/>
  <c r="U669" i="2" s="1"/>
  <c r="R670" i="2"/>
  <c r="T670" i="2" s="1"/>
  <c r="U670" i="2" s="1"/>
  <c r="R671" i="2"/>
  <c r="T671" i="2" s="1"/>
  <c r="U671" i="2" s="1"/>
  <c r="R672" i="2"/>
  <c r="T672" i="2" s="1"/>
  <c r="U672" i="2" s="1"/>
  <c r="R673" i="2"/>
  <c r="T673" i="2" s="1"/>
  <c r="U673" i="2" s="1"/>
  <c r="R674" i="2"/>
  <c r="T674" i="2" s="1"/>
  <c r="U674" i="2" s="1"/>
  <c r="R675" i="2"/>
  <c r="T675" i="2" s="1"/>
  <c r="U675" i="2" s="1"/>
  <c r="R676" i="2"/>
  <c r="T676" i="2" s="1"/>
  <c r="U676" i="2" s="1"/>
  <c r="R677" i="2"/>
  <c r="T677" i="2" s="1"/>
  <c r="U677" i="2" s="1"/>
  <c r="R678" i="2"/>
  <c r="T678" i="2" s="1"/>
  <c r="U678" i="2" s="1"/>
  <c r="R679" i="2"/>
  <c r="T679" i="2" s="1"/>
  <c r="U679" i="2" s="1"/>
  <c r="R680" i="2"/>
  <c r="T680" i="2" s="1"/>
  <c r="U680" i="2" s="1"/>
  <c r="R681" i="2"/>
  <c r="T681" i="2" s="1"/>
  <c r="U681" i="2" s="1"/>
  <c r="R682" i="2"/>
  <c r="T682" i="2" s="1"/>
  <c r="U682" i="2" s="1"/>
  <c r="R683" i="2"/>
  <c r="T683" i="2" s="1"/>
  <c r="U683" i="2" s="1"/>
  <c r="R684" i="2"/>
  <c r="T684" i="2" s="1"/>
  <c r="U684" i="2" s="1"/>
  <c r="R685" i="2"/>
  <c r="T685" i="2" s="1"/>
  <c r="U685" i="2" s="1"/>
  <c r="R686" i="2"/>
  <c r="T686" i="2" s="1"/>
  <c r="U686" i="2" s="1"/>
  <c r="R687" i="2"/>
  <c r="T687" i="2" s="1"/>
  <c r="U687" i="2" s="1"/>
  <c r="R688" i="2"/>
  <c r="T688" i="2" s="1"/>
  <c r="U688" i="2" s="1"/>
  <c r="R689" i="2"/>
  <c r="T689" i="2" s="1"/>
  <c r="U689" i="2" s="1"/>
  <c r="R690" i="2"/>
  <c r="T690" i="2" s="1"/>
  <c r="U690" i="2" s="1"/>
  <c r="R691" i="2"/>
  <c r="T691" i="2" s="1"/>
  <c r="U691" i="2" s="1"/>
  <c r="R692" i="2"/>
  <c r="T692" i="2" s="1"/>
  <c r="U692" i="2" s="1"/>
  <c r="R693" i="2"/>
  <c r="T693" i="2" s="1"/>
  <c r="U693" i="2" s="1"/>
  <c r="R694" i="2"/>
  <c r="T694" i="2" s="1"/>
  <c r="U694" i="2" s="1"/>
  <c r="R695" i="2"/>
  <c r="T695" i="2" s="1"/>
  <c r="U695" i="2" s="1"/>
  <c r="R696" i="2"/>
  <c r="T696" i="2" s="1"/>
  <c r="U696" i="2" s="1"/>
  <c r="R697" i="2"/>
  <c r="T697" i="2" s="1"/>
  <c r="U697" i="2" s="1"/>
  <c r="R698" i="2"/>
  <c r="T698" i="2" s="1"/>
  <c r="U698" i="2" s="1"/>
  <c r="R699" i="2"/>
  <c r="T699" i="2" s="1"/>
  <c r="U699" i="2" s="1"/>
  <c r="R700" i="2"/>
  <c r="T700" i="2" s="1"/>
  <c r="U700" i="2" s="1"/>
  <c r="R701" i="2"/>
  <c r="T701" i="2" s="1"/>
  <c r="U701" i="2" s="1"/>
  <c r="R702" i="2"/>
  <c r="T702" i="2" s="1"/>
  <c r="U702" i="2" s="1"/>
  <c r="R703" i="2"/>
  <c r="T703" i="2" s="1"/>
  <c r="U703" i="2" s="1"/>
  <c r="R704" i="2"/>
  <c r="T704" i="2" s="1"/>
  <c r="U704" i="2" s="1"/>
  <c r="R705" i="2"/>
  <c r="T705" i="2" s="1"/>
  <c r="U705" i="2" s="1"/>
  <c r="R706" i="2"/>
  <c r="T706" i="2" s="1"/>
  <c r="U706" i="2" s="1"/>
  <c r="R707" i="2"/>
  <c r="T707" i="2" s="1"/>
  <c r="U707" i="2" s="1"/>
  <c r="R708" i="2"/>
  <c r="T708" i="2" s="1"/>
  <c r="U708" i="2" s="1"/>
  <c r="R709" i="2"/>
  <c r="T709" i="2" s="1"/>
  <c r="U709" i="2" s="1"/>
  <c r="R710" i="2"/>
  <c r="T710" i="2" s="1"/>
  <c r="U710" i="2" s="1"/>
  <c r="R711" i="2"/>
  <c r="T711" i="2" s="1"/>
  <c r="U711" i="2" s="1"/>
  <c r="R712" i="2"/>
  <c r="T712" i="2" s="1"/>
  <c r="U712" i="2" s="1"/>
  <c r="R713" i="2"/>
  <c r="T713" i="2" s="1"/>
  <c r="U713" i="2" s="1"/>
  <c r="R714" i="2"/>
  <c r="T714" i="2" s="1"/>
  <c r="U714" i="2" s="1"/>
  <c r="R715" i="2"/>
  <c r="T715" i="2" s="1"/>
  <c r="U715" i="2" s="1"/>
  <c r="R716" i="2"/>
  <c r="T716" i="2" s="1"/>
  <c r="U716" i="2" s="1"/>
  <c r="R717" i="2"/>
  <c r="T717" i="2" s="1"/>
  <c r="U717" i="2" s="1"/>
  <c r="R718" i="2"/>
  <c r="T718" i="2" s="1"/>
  <c r="U718" i="2" s="1"/>
  <c r="R719" i="2"/>
  <c r="T719" i="2" s="1"/>
  <c r="U719" i="2" s="1"/>
  <c r="R720" i="2"/>
  <c r="T720" i="2" s="1"/>
  <c r="U720" i="2" s="1"/>
  <c r="R721" i="2"/>
  <c r="T721" i="2" s="1"/>
  <c r="U721" i="2" s="1"/>
  <c r="R722" i="2"/>
  <c r="T722" i="2" s="1"/>
  <c r="U722" i="2" s="1"/>
  <c r="R723" i="2"/>
  <c r="T723" i="2" s="1"/>
  <c r="U723" i="2" s="1"/>
  <c r="R724" i="2"/>
  <c r="T724" i="2" s="1"/>
  <c r="U724" i="2" s="1"/>
  <c r="R725" i="2"/>
  <c r="T725" i="2" s="1"/>
  <c r="U725" i="2" s="1"/>
  <c r="R726" i="2"/>
  <c r="T726" i="2" s="1"/>
  <c r="U726" i="2" s="1"/>
  <c r="R727" i="2"/>
  <c r="T727" i="2" s="1"/>
  <c r="U727" i="2" s="1"/>
  <c r="R728" i="2"/>
  <c r="T728" i="2" s="1"/>
  <c r="U728" i="2" s="1"/>
  <c r="R729" i="2"/>
  <c r="T729" i="2" s="1"/>
  <c r="U729" i="2" s="1"/>
  <c r="R730" i="2"/>
  <c r="T730" i="2" s="1"/>
  <c r="U730" i="2" s="1"/>
  <c r="R731" i="2"/>
  <c r="T731" i="2" s="1"/>
  <c r="U731" i="2" s="1"/>
  <c r="R732" i="2"/>
  <c r="T732" i="2" s="1"/>
  <c r="U732" i="2" s="1"/>
  <c r="R733" i="2"/>
  <c r="T733" i="2" s="1"/>
  <c r="U733" i="2" s="1"/>
  <c r="R734" i="2"/>
  <c r="T734" i="2" s="1"/>
  <c r="U734" i="2" s="1"/>
  <c r="R735" i="2"/>
  <c r="T735" i="2" s="1"/>
  <c r="U735" i="2" s="1"/>
  <c r="R736" i="2"/>
  <c r="T736" i="2" s="1"/>
  <c r="U736" i="2" s="1"/>
  <c r="R737" i="2"/>
  <c r="T737" i="2" s="1"/>
  <c r="U737" i="2" s="1"/>
  <c r="R738" i="2"/>
  <c r="T738" i="2" s="1"/>
  <c r="U738" i="2" s="1"/>
  <c r="R739" i="2"/>
  <c r="T739" i="2" s="1"/>
  <c r="U739" i="2" s="1"/>
  <c r="R740" i="2"/>
  <c r="T740" i="2" s="1"/>
  <c r="U740" i="2" s="1"/>
  <c r="R741" i="2"/>
  <c r="T741" i="2" s="1"/>
  <c r="U741" i="2" s="1"/>
  <c r="R742" i="2"/>
  <c r="T742" i="2" s="1"/>
  <c r="U742" i="2" s="1"/>
  <c r="R743" i="2"/>
  <c r="T743" i="2" s="1"/>
  <c r="U743" i="2" s="1"/>
  <c r="R744" i="2"/>
  <c r="T744" i="2" s="1"/>
  <c r="U744" i="2" s="1"/>
  <c r="R745" i="2"/>
  <c r="T745" i="2" s="1"/>
  <c r="U745" i="2" s="1"/>
  <c r="R746" i="2"/>
  <c r="T746" i="2" s="1"/>
  <c r="U746" i="2" s="1"/>
  <c r="R747" i="2"/>
  <c r="T747" i="2" s="1"/>
  <c r="U747" i="2" s="1"/>
  <c r="R748" i="2"/>
  <c r="T748" i="2" s="1"/>
  <c r="U748" i="2" s="1"/>
  <c r="R749" i="2"/>
  <c r="T749" i="2" s="1"/>
  <c r="U749" i="2" s="1"/>
  <c r="R750" i="2"/>
  <c r="T750" i="2" s="1"/>
  <c r="U750" i="2" s="1"/>
  <c r="R751" i="2"/>
  <c r="T751" i="2" s="1"/>
  <c r="U751" i="2" s="1"/>
  <c r="R752" i="2"/>
  <c r="T752" i="2" s="1"/>
  <c r="U752" i="2" s="1"/>
  <c r="R753" i="2"/>
  <c r="T753" i="2" s="1"/>
  <c r="U753" i="2" s="1"/>
  <c r="R754" i="2"/>
  <c r="T754" i="2" s="1"/>
  <c r="U754" i="2" s="1"/>
  <c r="R755" i="2"/>
  <c r="T755" i="2" s="1"/>
  <c r="U755" i="2" s="1"/>
  <c r="R756" i="2"/>
  <c r="T756" i="2" s="1"/>
  <c r="U756" i="2" s="1"/>
  <c r="R757" i="2"/>
  <c r="T757" i="2" s="1"/>
  <c r="U757" i="2" s="1"/>
  <c r="R758" i="2"/>
  <c r="T758" i="2" s="1"/>
  <c r="U758" i="2" s="1"/>
  <c r="R759" i="2"/>
  <c r="T759" i="2" s="1"/>
  <c r="U759" i="2" s="1"/>
  <c r="R760" i="2"/>
  <c r="T760" i="2" s="1"/>
  <c r="U760" i="2" s="1"/>
  <c r="R761" i="2"/>
  <c r="T761" i="2" s="1"/>
  <c r="U761" i="2" s="1"/>
  <c r="R762" i="2"/>
  <c r="T762" i="2" s="1"/>
  <c r="U762" i="2" s="1"/>
  <c r="R763" i="2"/>
  <c r="T763" i="2" s="1"/>
  <c r="U763" i="2" s="1"/>
  <c r="R764" i="2"/>
  <c r="T764" i="2" s="1"/>
  <c r="U764" i="2" s="1"/>
  <c r="R765" i="2"/>
  <c r="T765" i="2" s="1"/>
  <c r="U765" i="2" s="1"/>
  <c r="R766" i="2"/>
  <c r="T766" i="2" s="1"/>
  <c r="U766" i="2" s="1"/>
  <c r="R767" i="2"/>
  <c r="T767" i="2" s="1"/>
  <c r="U767" i="2" s="1"/>
  <c r="R768" i="2"/>
  <c r="T768" i="2" s="1"/>
  <c r="U768" i="2" s="1"/>
  <c r="R769" i="2"/>
  <c r="T769" i="2" s="1"/>
  <c r="U769" i="2" s="1"/>
  <c r="R770" i="2"/>
  <c r="T770" i="2" s="1"/>
  <c r="U770" i="2" s="1"/>
  <c r="R771" i="2"/>
  <c r="T771" i="2" s="1"/>
  <c r="U771" i="2" s="1"/>
  <c r="R772" i="2"/>
  <c r="T772" i="2" s="1"/>
  <c r="U772" i="2" s="1"/>
  <c r="R773" i="2"/>
  <c r="T773" i="2" s="1"/>
  <c r="U773" i="2" s="1"/>
  <c r="R774" i="2"/>
  <c r="T774" i="2" s="1"/>
  <c r="U774" i="2" s="1"/>
  <c r="R775" i="2"/>
  <c r="T775" i="2" s="1"/>
  <c r="U775" i="2" s="1"/>
  <c r="R776" i="2"/>
  <c r="T776" i="2" s="1"/>
  <c r="U776" i="2" s="1"/>
  <c r="R777" i="2"/>
  <c r="T777" i="2" s="1"/>
  <c r="U777" i="2" s="1"/>
  <c r="R778" i="2"/>
  <c r="T778" i="2" s="1"/>
  <c r="U778" i="2" s="1"/>
  <c r="R779" i="2"/>
  <c r="T779" i="2" s="1"/>
  <c r="U779" i="2" s="1"/>
  <c r="R780" i="2"/>
  <c r="T780" i="2" s="1"/>
  <c r="U780" i="2" s="1"/>
  <c r="R781" i="2"/>
  <c r="T781" i="2" s="1"/>
  <c r="U781" i="2" s="1"/>
  <c r="R782" i="2"/>
  <c r="T782" i="2" s="1"/>
  <c r="U782" i="2" s="1"/>
  <c r="R783" i="2"/>
  <c r="T783" i="2" s="1"/>
  <c r="U783" i="2" s="1"/>
  <c r="R784" i="2"/>
  <c r="T784" i="2" s="1"/>
  <c r="U784" i="2" s="1"/>
  <c r="R785" i="2"/>
  <c r="T785" i="2" s="1"/>
  <c r="U785" i="2" s="1"/>
  <c r="R786" i="2"/>
  <c r="T786" i="2" s="1"/>
  <c r="U786" i="2" s="1"/>
  <c r="R787" i="2"/>
  <c r="T787" i="2" s="1"/>
  <c r="U787" i="2" s="1"/>
  <c r="R788" i="2"/>
  <c r="T788" i="2" s="1"/>
  <c r="U788" i="2" s="1"/>
  <c r="R789" i="2"/>
  <c r="T789" i="2" s="1"/>
  <c r="U789" i="2" s="1"/>
  <c r="R790" i="2"/>
  <c r="T790" i="2" s="1"/>
  <c r="U790" i="2" s="1"/>
  <c r="R791" i="2"/>
  <c r="T791" i="2" s="1"/>
  <c r="U791" i="2" s="1"/>
  <c r="R792" i="2"/>
  <c r="T792" i="2" s="1"/>
  <c r="U792" i="2" s="1"/>
  <c r="R793" i="2"/>
  <c r="T793" i="2" s="1"/>
  <c r="U793" i="2" s="1"/>
  <c r="R794" i="2"/>
  <c r="T794" i="2" s="1"/>
  <c r="U794" i="2" s="1"/>
  <c r="R795" i="2"/>
  <c r="T795" i="2" s="1"/>
  <c r="U795" i="2" s="1"/>
  <c r="R796" i="2"/>
  <c r="T796" i="2" s="1"/>
  <c r="U796" i="2" s="1"/>
  <c r="R797" i="2"/>
  <c r="T797" i="2" s="1"/>
  <c r="U797" i="2" s="1"/>
  <c r="R798" i="2"/>
  <c r="T798" i="2" s="1"/>
  <c r="U798" i="2" s="1"/>
  <c r="R799" i="2"/>
  <c r="T799" i="2" s="1"/>
  <c r="U799" i="2" s="1"/>
  <c r="R800" i="2"/>
  <c r="T800" i="2" s="1"/>
  <c r="U800" i="2" s="1"/>
  <c r="R801" i="2"/>
  <c r="T801" i="2" s="1"/>
  <c r="U801" i="2" s="1"/>
  <c r="R802" i="2"/>
  <c r="T802" i="2" s="1"/>
  <c r="U802" i="2" s="1"/>
  <c r="R803" i="2"/>
  <c r="T803" i="2" s="1"/>
  <c r="U803" i="2" s="1"/>
  <c r="R804" i="2"/>
  <c r="T804" i="2" s="1"/>
  <c r="U804" i="2" s="1"/>
  <c r="R805" i="2"/>
  <c r="T805" i="2" s="1"/>
  <c r="U805" i="2" s="1"/>
  <c r="R806" i="2"/>
  <c r="T806" i="2" s="1"/>
  <c r="U806" i="2" s="1"/>
  <c r="R807" i="2"/>
  <c r="T807" i="2" s="1"/>
  <c r="U807" i="2" s="1"/>
  <c r="R808" i="2"/>
  <c r="T808" i="2" s="1"/>
  <c r="U808" i="2" s="1"/>
  <c r="R809" i="2"/>
  <c r="T809" i="2" s="1"/>
  <c r="U809" i="2" s="1"/>
  <c r="R810" i="2"/>
  <c r="T810" i="2" s="1"/>
  <c r="U810" i="2" s="1"/>
  <c r="R811" i="2"/>
  <c r="T811" i="2" s="1"/>
  <c r="U811" i="2" s="1"/>
  <c r="R812" i="2"/>
  <c r="T812" i="2" s="1"/>
  <c r="U812" i="2" s="1"/>
  <c r="R813" i="2"/>
  <c r="T813" i="2" s="1"/>
  <c r="U813" i="2" s="1"/>
  <c r="R814" i="2"/>
  <c r="T814" i="2" s="1"/>
  <c r="U814" i="2" s="1"/>
  <c r="R815" i="2"/>
  <c r="T815" i="2" s="1"/>
  <c r="U815" i="2" s="1"/>
  <c r="R816" i="2"/>
  <c r="T816" i="2" s="1"/>
  <c r="U816" i="2" s="1"/>
  <c r="R817" i="2"/>
  <c r="T817" i="2" s="1"/>
  <c r="U817" i="2" s="1"/>
  <c r="R818" i="2"/>
  <c r="T818" i="2" s="1"/>
  <c r="U818" i="2" s="1"/>
  <c r="R819" i="2"/>
  <c r="T819" i="2" s="1"/>
  <c r="U819" i="2" s="1"/>
  <c r="R820" i="2"/>
  <c r="T820" i="2" s="1"/>
  <c r="U820" i="2" s="1"/>
  <c r="R821" i="2"/>
  <c r="T821" i="2" s="1"/>
  <c r="U821" i="2" s="1"/>
  <c r="R822" i="2"/>
  <c r="T822" i="2" s="1"/>
  <c r="U822" i="2" s="1"/>
  <c r="R823" i="2"/>
  <c r="T823" i="2" s="1"/>
  <c r="U823" i="2" s="1"/>
  <c r="R824" i="2"/>
  <c r="T824" i="2" s="1"/>
  <c r="U824" i="2" s="1"/>
  <c r="R825" i="2"/>
  <c r="T825" i="2" s="1"/>
  <c r="U825" i="2" s="1"/>
  <c r="R826" i="2"/>
  <c r="T826" i="2" s="1"/>
  <c r="U826" i="2" s="1"/>
  <c r="R827" i="2"/>
  <c r="T827" i="2" s="1"/>
  <c r="U827" i="2" s="1"/>
  <c r="R828" i="2"/>
  <c r="T828" i="2" s="1"/>
  <c r="U828" i="2" s="1"/>
  <c r="R829" i="2"/>
  <c r="T829" i="2" s="1"/>
  <c r="U829" i="2" s="1"/>
  <c r="R830" i="2"/>
  <c r="T830" i="2" s="1"/>
  <c r="U830" i="2" s="1"/>
  <c r="R831" i="2"/>
  <c r="T831" i="2" s="1"/>
  <c r="U831" i="2" s="1"/>
  <c r="R832" i="2"/>
  <c r="T832" i="2" s="1"/>
  <c r="U832" i="2" s="1"/>
  <c r="R833" i="2"/>
  <c r="T833" i="2" s="1"/>
  <c r="U833" i="2" s="1"/>
  <c r="R834" i="2"/>
  <c r="T834" i="2" s="1"/>
  <c r="U834" i="2" s="1"/>
  <c r="R835" i="2"/>
  <c r="T835" i="2" s="1"/>
  <c r="U835" i="2" s="1"/>
  <c r="R836" i="2"/>
  <c r="T836" i="2" s="1"/>
  <c r="U836" i="2" s="1"/>
  <c r="R837" i="2"/>
  <c r="T837" i="2" s="1"/>
  <c r="U837" i="2" s="1"/>
  <c r="R838" i="2"/>
  <c r="T838" i="2" s="1"/>
  <c r="U838" i="2" s="1"/>
  <c r="R839" i="2"/>
  <c r="T839" i="2" s="1"/>
  <c r="U839" i="2" s="1"/>
  <c r="R840" i="2"/>
  <c r="T840" i="2" s="1"/>
  <c r="U840" i="2" s="1"/>
  <c r="R841" i="2"/>
  <c r="T841" i="2" s="1"/>
  <c r="U841" i="2" s="1"/>
  <c r="R842" i="2"/>
  <c r="T842" i="2" s="1"/>
  <c r="U842" i="2" s="1"/>
  <c r="R843" i="2"/>
  <c r="T843" i="2" s="1"/>
  <c r="U843" i="2" s="1"/>
  <c r="R844" i="2"/>
  <c r="T844" i="2" s="1"/>
  <c r="U844" i="2" s="1"/>
  <c r="R845" i="2"/>
  <c r="T845" i="2" s="1"/>
  <c r="U845" i="2" s="1"/>
  <c r="R846" i="2"/>
  <c r="T846" i="2" s="1"/>
  <c r="U846" i="2" s="1"/>
  <c r="R847" i="2"/>
  <c r="T847" i="2" s="1"/>
  <c r="U847" i="2" s="1"/>
  <c r="R848" i="2"/>
  <c r="T848" i="2" s="1"/>
  <c r="U848" i="2" s="1"/>
  <c r="R849" i="2"/>
  <c r="T849" i="2" s="1"/>
  <c r="U849" i="2" s="1"/>
  <c r="R850" i="2"/>
  <c r="T850" i="2" s="1"/>
  <c r="U850" i="2" s="1"/>
  <c r="R851" i="2"/>
  <c r="T851" i="2" s="1"/>
  <c r="U851" i="2" s="1"/>
  <c r="R852" i="2"/>
  <c r="T852" i="2" s="1"/>
  <c r="U852" i="2" s="1"/>
  <c r="R853" i="2"/>
  <c r="T853" i="2" s="1"/>
  <c r="U853" i="2" s="1"/>
  <c r="R854" i="2"/>
  <c r="T854" i="2" s="1"/>
  <c r="U854" i="2" s="1"/>
  <c r="R855" i="2"/>
  <c r="T855" i="2" s="1"/>
  <c r="U855" i="2" s="1"/>
  <c r="R856" i="2"/>
  <c r="T856" i="2" s="1"/>
  <c r="U856" i="2" s="1"/>
  <c r="R857" i="2"/>
  <c r="T857" i="2" s="1"/>
  <c r="U857" i="2" s="1"/>
  <c r="R858" i="2"/>
  <c r="T858" i="2" s="1"/>
  <c r="U858" i="2" s="1"/>
  <c r="R859" i="2"/>
  <c r="T859" i="2" s="1"/>
  <c r="U859" i="2" s="1"/>
  <c r="R860" i="2"/>
  <c r="T860" i="2" s="1"/>
  <c r="U860" i="2" s="1"/>
  <c r="R861" i="2"/>
  <c r="T861" i="2" s="1"/>
  <c r="U861" i="2" s="1"/>
  <c r="R862" i="2"/>
  <c r="T862" i="2" s="1"/>
  <c r="U862" i="2" s="1"/>
  <c r="R863" i="2"/>
  <c r="T863" i="2" s="1"/>
  <c r="U863" i="2" s="1"/>
  <c r="R864" i="2"/>
  <c r="T864" i="2" s="1"/>
  <c r="U864" i="2" s="1"/>
  <c r="R865" i="2"/>
  <c r="T865" i="2" s="1"/>
  <c r="U865" i="2" s="1"/>
  <c r="R866" i="2"/>
  <c r="T866" i="2" s="1"/>
  <c r="U866" i="2" s="1"/>
  <c r="R867" i="2"/>
  <c r="T867" i="2" s="1"/>
  <c r="U867" i="2" s="1"/>
  <c r="R868" i="2"/>
  <c r="T868" i="2" s="1"/>
  <c r="U868" i="2" s="1"/>
  <c r="R869" i="2"/>
  <c r="T869" i="2" s="1"/>
  <c r="U869" i="2" s="1"/>
  <c r="R870" i="2"/>
  <c r="T870" i="2" s="1"/>
  <c r="U870" i="2" s="1"/>
  <c r="R871" i="2"/>
  <c r="T871" i="2" s="1"/>
  <c r="U871" i="2" s="1"/>
  <c r="R872" i="2"/>
  <c r="T872" i="2" s="1"/>
  <c r="U872" i="2" s="1"/>
  <c r="R873" i="2"/>
  <c r="T873" i="2" s="1"/>
  <c r="U873" i="2" s="1"/>
  <c r="R874" i="2"/>
  <c r="T874" i="2" s="1"/>
  <c r="U874" i="2" s="1"/>
  <c r="R875" i="2"/>
  <c r="T875" i="2" s="1"/>
  <c r="U875" i="2" s="1"/>
  <c r="R876" i="2"/>
  <c r="T876" i="2" s="1"/>
  <c r="U876" i="2" s="1"/>
  <c r="R877" i="2"/>
  <c r="T877" i="2" s="1"/>
  <c r="U877" i="2" s="1"/>
  <c r="R878" i="2"/>
  <c r="T878" i="2" s="1"/>
  <c r="U878" i="2" s="1"/>
  <c r="R879" i="2"/>
  <c r="T879" i="2" s="1"/>
  <c r="U879" i="2" s="1"/>
  <c r="R880" i="2"/>
  <c r="T880" i="2" s="1"/>
  <c r="U880" i="2" s="1"/>
  <c r="R881" i="2"/>
  <c r="T881" i="2" s="1"/>
  <c r="U881" i="2" s="1"/>
  <c r="R882" i="2"/>
  <c r="T882" i="2" s="1"/>
  <c r="U882" i="2" s="1"/>
  <c r="R883" i="2"/>
  <c r="T883" i="2" s="1"/>
  <c r="U883" i="2" s="1"/>
  <c r="R884" i="2"/>
  <c r="T884" i="2" s="1"/>
  <c r="U884" i="2" s="1"/>
  <c r="R885" i="2"/>
  <c r="T885" i="2" s="1"/>
  <c r="U885" i="2" s="1"/>
  <c r="R886" i="2"/>
  <c r="T886" i="2" s="1"/>
  <c r="U886" i="2" s="1"/>
  <c r="R887" i="2"/>
  <c r="T887" i="2" s="1"/>
  <c r="U887" i="2" s="1"/>
  <c r="R888" i="2"/>
  <c r="T888" i="2" s="1"/>
  <c r="U888" i="2" s="1"/>
  <c r="R889" i="2"/>
  <c r="T889" i="2" s="1"/>
  <c r="U889" i="2" s="1"/>
  <c r="R890" i="2"/>
  <c r="T890" i="2" s="1"/>
  <c r="U890" i="2" s="1"/>
  <c r="R891" i="2"/>
  <c r="T891" i="2" s="1"/>
  <c r="U891" i="2" s="1"/>
  <c r="R892" i="2"/>
  <c r="T892" i="2" s="1"/>
  <c r="U892" i="2" s="1"/>
  <c r="R893" i="2"/>
  <c r="T893" i="2" s="1"/>
  <c r="U893" i="2" s="1"/>
  <c r="R894" i="2"/>
  <c r="T894" i="2" s="1"/>
  <c r="U894" i="2" s="1"/>
  <c r="R895" i="2"/>
  <c r="T895" i="2" s="1"/>
  <c r="U895" i="2" s="1"/>
  <c r="R896" i="2"/>
  <c r="T896" i="2" s="1"/>
  <c r="U896" i="2" s="1"/>
  <c r="R897" i="2"/>
  <c r="T897" i="2" s="1"/>
  <c r="U897" i="2" s="1"/>
  <c r="R898" i="2"/>
  <c r="T898" i="2" s="1"/>
  <c r="U898" i="2" s="1"/>
  <c r="R899" i="2"/>
  <c r="T899" i="2" s="1"/>
  <c r="U899" i="2" s="1"/>
  <c r="R900" i="2"/>
  <c r="T900" i="2" s="1"/>
  <c r="U900" i="2" s="1"/>
  <c r="R901" i="2"/>
  <c r="T901" i="2" s="1"/>
  <c r="U901" i="2" s="1"/>
  <c r="R902" i="2"/>
  <c r="T902" i="2" s="1"/>
  <c r="U902" i="2" s="1"/>
  <c r="R903" i="2"/>
  <c r="T903" i="2" s="1"/>
  <c r="U903" i="2" s="1"/>
  <c r="R904" i="2"/>
  <c r="T904" i="2" s="1"/>
  <c r="U904" i="2" s="1"/>
  <c r="R905" i="2"/>
  <c r="T905" i="2" s="1"/>
  <c r="U905" i="2" s="1"/>
  <c r="R906" i="2"/>
  <c r="T906" i="2" s="1"/>
  <c r="U906" i="2" s="1"/>
  <c r="R907" i="2"/>
  <c r="T907" i="2" s="1"/>
  <c r="U907" i="2" s="1"/>
  <c r="R908" i="2"/>
  <c r="T908" i="2" s="1"/>
  <c r="U908" i="2" s="1"/>
  <c r="R909" i="2"/>
  <c r="T909" i="2" s="1"/>
  <c r="U909" i="2" s="1"/>
  <c r="R910" i="2"/>
  <c r="T910" i="2" s="1"/>
  <c r="U910" i="2" s="1"/>
  <c r="R911" i="2"/>
  <c r="T911" i="2" s="1"/>
  <c r="U911" i="2" s="1"/>
  <c r="R912" i="2"/>
  <c r="T912" i="2" s="1"/>
  <c r="U912" i="2" s="1"/>
  <c r="R913" i="2"/>
  <c r="T913" i="2" s="1"/>
  <c r="U913" i="2" s="1"/>
  <c r="R914" i="2"/>
  <c r="T914" i="2" s="1"/>
  <c r="U914" i="2" s="1"/>
  <c r="R915" i="2"/>
  <c r="T915" i="2" s="1"/>
  <c r="U915" i="2" s="1"/>
  <c r="R916" i="2"/>
  <c r="T916" i="2" s="1"/>
  <c r="U916" i="2" s="1"/>
  <c r="R917" i="2"/>
  <c r="T917" i="2" s="1"/>
  <c r="U917" i="2" s="1"/>
  <c r="R918" i="2"/>
  <c r="T918" i="2" s="1"/>
  <c r="U918" i="2" s="1"/>
  <c r="R919" i="2"/>
  <c r="T919" i="2" s="1"/>
  <c r="U919" i="2" s="1"/>
  <c r="R920" i="2"/>
  <c r="T920" i="2" s="1"/>
  <c r="U920" i="2" s="1"/>
  <c r="R921" i="2"/>
  <c r="T921" i="2" s="1"/>
  <c r="U921" i="2" s="1"/>
  <c r="R922" i="2"/>
  <c r="T922" i="2" s="1"/>
  <c r="U922" i="2" s="1"/>
  <c r="R923" i="2"/>
  <c r="T923" i="2" s="1"/>
  <c r="U923" i="2" s="1"/>
  <c r="R924" i="2"/>
  <c r="T924" i="2" s="1"/>
  <c r="U924" i="2" s="1"/>
  <c r="R925" i="2"/>
  <c r="T925" i="2" s="1"/>
  <c r="U925" i="2" s="1"/>
  <c r="R926" i="2"/>
  <c r="T926" i="2" s="1"/>
  <c r="U926" i="2" s="1"/>
  <c r="R927" i="2"/>
  <c r="T927" i="2" s="1"/>
  <c r="U927" i="2" s="1"/>
  <c r="R928" i="2"/>
  <c r="T928" i="2" s="1"/>
  <c r="U928" i="2" s="1"/>
  <c r="R929" i="2"/>
  <c r="T929" i="2" s="1"/>
  <c r="U929" i="2" s="1"/>
  <c r="R930" i="2"/>
  <c r="T930" i="2" s="1"/>
  <c r="U930" i="2" s="1"/>
  <c r="R931" i="2"/>
  <c r="T931" i="2" s="1"/>
  <c r="U931" i="2" s="1"/>
  <c r="R932" i="2"/>
  <c r="T932" i="2" s="1"/>
  <c r="U932" i="2" s="1"/>
  <c r="R933" i="2"/>
  <c r="T933" i="2" s="1"/>
  <c r="U933" i="2" s="1"/>
  <c r="R934" i="2"/>
  <c r="T934" i="2" s="1"/>
  <c r="U934" i="2" s="1"/>
  <c r="R935" i="2"/>
  <c r="T935" i="2" s="1"/>
  <c r="U935" i="2" s="1"/>
  <c r="R936" i="2"/>
  <c r="T936" i="2" s="1"/>
  <c r="U936" i="2" s="1"/>
  <c r="R937" i="2"/>
  <c r="T937" i="2" s="1"/>
  <c r="U937" i="2" s="1"/>
  <c r="R938" i="2"/>
  <c r="T938" i="2" s="1"/>
  <c r="U938" i="2" s="1"/>
  <c r="R939" i="2"/>
  <c r="T939" i="2" s="1"/>
  <c r="U939" i="2" s="1"/>
  <c r="R940" i="2"/>
  <c r="T940" i="2" s="1"/>
  <c r="U940" i="2" s="1"/>
  <c r="R941" i="2"/>
  <c r="T941" i="2" s="1"/>
  <c r="U941" i="2" s="1"/>
  <c r="R942" i="2"/>
  <c r="T942" i="2" s="1"/>
  <c r="U942" i="2" s="1"/>
  <c r="R943" i="2"/>
  <c r="T943" i="2" s="1"/>
  <c r="U943" i="2" s="1"/>
  <c r="R944" i="2"/>
  <c r="T944" i="2" s="1"/>
  <c r="U944" i="2" s="1"/>
  <c r="R945" i="2"/>
  <c r="T945" i="2" s="1"/>
  <c r="U945" i="2" s="1"/>
  <c r="R946" i="2"/>
  <c r="T946" i="2" s="1"/>
  <c r="U946" i="2" s="1"/>
  <c r="R947" i="2"/>
  <c r="T947" i="2" s="1"/>
  <c r="U947" i="2" s="1"/>
  <c r="R948" i="2"/>
  <c r="T948" i="2" s="1"/>
  <c r="U948" i="2" s="1"/>
  <c r="R949" i="2"/>
  <c r="T949" i="2" s="1"/>
  <c r="U949" i="2" s="1"/>
  <c r="R950" i="2"/>
  <c r="T950" i="2" s="1"/>
  <c r="U950" i="2" s="1"/>
  <c r="R951" i="2"/>
  <c r="T951" i="2" s="1"/>
  <c r="U951" i="2" s="1"/>
  <c r="R952" i="2"/>
  <c r="T952" i="2" s="1"/>
  <c r="U952" i="2" s="1"/>
  <c r="R953" i="2"/>
  <c r="T953" i="2" s="1"/>
  <c r="U953" i="2" s="1"/>
  <c r="R954" i="2"/>
  <c r="T954" i="2" s="1"/>
  <c r="U954" i="2" s="1"/>
  <c r="R955" i="2"/>
  <c r="T955" i="2" s="1"/>
  <c r="U955" i="2" s="1"/>
  <c r="R956" i="2"/>
  <c r="T956" i="2" s="1"/>
  <c r="U956" i="2" s="1"/>
  <c r="R957" i="2"/>
  <c r="T957" i="2" s="1"/>
  <c r="U957" i="2" s="1"/>
  <c r="R958" i="2"/>
  <c r="T958" i="2" s="1"/>
  <c r="U958" i="2" s="1"/>
  <c r="R959" i="2"/>
  <c r="T959" i="2" s="1"/>
  <c r="U959" i="2" s="1"/>
  <c r="R960" i="2"/>
  <c r="T960" i="2" s="1"/>
  <c r="U960" i="2" s="1"/>
  <c r="R961" i="2"/>
  <c r="T961" i="2" s="1"/>
  <c r="U961" i="2" s="1"/>
  <c r="R962" i="2"/>
  <c r="T962" i="2" s="1"/>
  <c r="U962" i="2" s="1"/>
  <c r="R963" i="2"/>
  <c r="T963" i="2" s="1"/>
  <c r="U963" i="2" s="1"/>
  <c r="R964" i="2"/>
  <c r="T964" i="2" s="1"/>
  <c r="U964" i="2" s="1"/>
  <c r="R965" i="2"/>
  <c r="T965" i="2" s="1"/>
  <c r="U965" i="2" s="1"/>
  <c r="R966" i="2"/>
  <c r="T966" i="2" s="1"/>
  <c r="U966" i="2" s="1"/>
  <c r="R967" i="2"/>
  <c r="T967" i="2" s="1"/>
  <c r="U967" i="2" s="1"/>
  <c r="R968" i="2"/>
  <c r="T968" i="2" s="1"/>
  <c r="U968" i="2" s="1"/>
  <c r="R969" i="2"/>
  <c r="T969" i="2" s="1"/>
  <c r="U969" i="2" s="1"/>
  <c r="R970" i="2"/>
  <c r="T970" i="2" s="1"/>
  <c r="U970" i="2" s="1"/>
  <c r="R971" i="2"/>
  <c r="T971" i="2" s="1"/>
  <c r="U971" i="2" s="1"/>
  <c r="R972" i="2"/>
  <c r="T972" i="2" s="1"/>
  <c r="U972" i="2" s="1"/>
  <c r="R973" i="2"/>
  <c r="T973" i="2" s="1"/>
  <c r="U973" i="2" s="1"/>
  <c r="R974" i="2"/>
  <c r="T974" i="2" s="1"/>
  <c r="U974" i="2" s="1"/>
  <c r="R975" i="2"/>
  <c r="T975" i="2" s="1"/>
  <c r="U975" i="2" s="1"/>
  <c r="R976" i="2"/>
  <c r="T976" i="2" s="1"/>
  <c r="U976" i="2" s="1"/>
  <c r="R977" i="2"/>
  <c r="T977" i="2" s="1"/>
  <c r="U977" i="2" s="1"/>
  <c r="R978" i="2"/>
  <c r="T978" i="2" s="1"/>
  <c r="U978" i="2" s="1"/>
  <c r="R979" i="2"/>
  <c r="T979" i="2" s="1"/>
  <c r="U979" i="2" s="1"/>
  <c r="R980" i="2"/>
  <c r="T980" i="2" s="1"/>
  <c r="U980" i="2" s="1"/>
  <c r="R981" i="2"/>
  <c r="T981" i="2" s="1"/>
  <c r="U981" i="2" s="1"/>
  <c r="R982" i="2"/>
  <c r="T982" i="2" s="1"/>
  <c r="U982" i="2" s="1"/>
  <c r="R983" i="2"/>
  <c r="T983" i="2" s="1"/>
  <c r="U983" i="2" s="1"/>
  <c r="R984" i="2"/>
  <c r="T984" i="2" s="1"/>
  <c r="U984" i="2" s="1"/>
  <c r="R985" i="2"/>
  <c r="T985" i="2" s="1"/>
  <c r="U985" i="2" s="1"/>
  <c r="R986" i="2"/>
  <c r="T986" i="2" s="1"/>
  <c r="U986" i="2" s="1"/>
  <c r="R987" i="2"/>
  <c r="T987" i="2" s="1"/>
  <c r="U987" i="2" s="1"/>
  <c r="R988" i="2"/>
  <c r="T988" i="2" s="1"/>
  <c r="U988" i="2" s="1"/>
  <c r="R989" i="2"/>
  <c r="T989" i="2" s="1"/>
  <c r="U989" i="2" s="1"/>
  <c r="R990" i="2"/>
  <c r="T990" i="2" s="1"/>
  <c r="U990" i="2" s="1"/>
  <c r="R991" i="2"/>
  <c r="T991" i="2" s="1"/>
  <c r="U991" i="2" s="1"/>
  <c r="R992" i="2"/>
  <c r="T992" i="2" s="1"/>
  <c r="U992" i="2" s="1"/>
  <c r="R993" i="2"/>
  <c r="T993" i="2" s="1"/>
  <c r="U993" i="2" s="1"/>
  <c r="R994" i="2"/>
  <c r="T994" i="2" s="1"/>
  <c r="U994" i="2" s="1"/>
  <c r="R995" i="2"/>
  <c r="T995" i="2" s="1"/>
  <c r="U995" i="2" s="1"/>
  <c r="R996" i="2"/>
  <c r="T996" i="2" s="1"/>
  <c r="U996" i="2" s="1"/>
  <c r="R997" i="2"/>
  <c r="T997" i="2" s="1"/>
  <c r="U997" i="2" s="1"/>
  <c r="R998" i="2"/>
  <c r="T998" i="2" s="1"/>
  <c r="U998" i="2" s="1"/>
  <c r="R999" i="2"/>
  <c r="T999" i="2" s="1"/>
  <c r="U999" i="2" s="1"/>
  <c r="R1000" i="2"/>
  <c r="T1000" i="2" s="1"/>
  <c r="U1000" i="2" s="1"/>
  <c r="R1001" i="2"/>
  <c r="T1001" i="2" s="1"/>
  <c r="U1001" i="2" s="1"/>
  <c r="R1002" i="2"/>
  <c r="T1002" i="2" s="1"/>
  <c r="U1002" i="2" s="1"/>
  <c r="R1003" i="2"/>
  <c r="T1003" i="2" s="1"/>
  <c r="U1003" i="2" s="1"/>
  <c r="N2" i="2"/>
  <c r="C4" i="2" a="1"/>
  <c r="A44" i="2" s="1"/>
  <c r="A277" i="2" l="1"/>
  <c r="A31" i="2"/>
  <c r="A649" i="2"/>
  <c r="A320" i="2"/>
  <c r="A979" i="2"/>
  <c r="A905" i="2"/>
  <c r="A770" i="2"/>
  <c r="A643" i="2"/>
  <c r="A586" i="2"/>
  <c r="A506" i="2"/>
  <c r="A155" i="2"/>
  <c r="A837" i="2"/>
  <c r="A402" i="2"/>
  <c r="A978" i="2"/>
  <c r="A885" i="2"/>
  <c r="A671" i="2"/>
  <c r="A566" i="2"/>
  <c r="A328" i="2"/>
  <c r="A255" i="2"/>
  <c r="A154" i="2"/>
  <c r="A463" i="2"/>
  <c r="A968" i="2"/>
  <c r="A826" i="2"/>
  <c r="A379" i="2"/>
  <c r="A274" i="2"/>
  <c r="A153" i="2"/>
  <c r="A694" i="2"/>
  <c r="A462" i="2"/>
  <c r="A844" i="2"/>
  <c r="A640" i="2"/>
  <c r="A494" i="2"/>
  <c r="A358" i="2"/>
  <c r="A273" i="2"/>
  <c r="A213" i="2"/>
  <c r="A143" i="2"/>
  <c r="A958" i="2"/>
  <c r="A760" i="2"/>
  <c r="A541" i="2"/>
  <c r="A129" i="2"/>
  <c r="A940" i="2"/>
  <c r="A892" i="2"/>
  <c r="A795" i="2"/>
  <c r="A747" i="2"/>
  <c r="A707" i="2"/>
  <c r="A658" i="2"/>
  <c r="A650" i="2"/>
  <c r="A639" i="2"/>
  <c r="A593" i="2"/>
  <c r="A583" i="2"/>
  <c r="A574" i="2"/>
  <c r="A514" i="2"/>
  <c r="A493" i="2"/>
  <c r="A419" i="2"/>
  <c r="A407" i="2"/>
  <c r="A387" i="2"/>
  <c r="A377" i="2"/>
  <c r="A367" i="2"/>
  <c r="A357" i="2"/>
  <c r="A336" i="2"/>
  <c r="A316" i="2"/>
  <c r="A304" i="2"/>
  <c r="A262" i="2"/>
  <c r="A253" i="2"/>
  <c r="A244" i="2"/>
  <c r="A203" i="2"/>
  <c r="A194" i="2"/>
  <c r="A183" i="2"/>
  <c r="A173" i="2"/>
  <c r="A163" i="2"/>
  <c r="A142" i="2"/>
  <c r="A47" i="2"/>
  <c r="A759" i="2"/>
  <c r="A540" i="2"/>
  <c r="A457" i="2"/>
  <c r="A299" i="2"/>
  <c r="A216" i="2"/>
  <c r="A128" i="2"/>
  <c r="A45" i="2"/>
  <c r="A297" i="2"/>
  <c r="A22" i="2"/>
  <c r="A719" i="2"/>
  <c r="A258" i="2"/>
  <c r="A838" i="2"/>
  <c r="A700" i="2"/>
  <c r="A615" i="2"/>
  <c r="A528" i="2"/>
  <c r="A206" i="2"/>
  <c r="A145" i="2"/>
  <c r="A21" i="2"/>
  <c r="A236" i="2"/>
  <c r="A960" i="2"/>
  <c r="A691" i="2"/>
  <c r="A596" i="2"/>
  <c r="A527" i="2"/>
  <c r="A285" i="2"/>
  <c r="A205" i="2"/>
  <c r="A717" i="2"/>
  <c r="A399" i="2"/>
  <c r="A641" i="2"/>
  <c r="A472" i="2"/>
  <c r="A398" i="2"/>
  <c r="A284" i="2"/>
  <c r="A165" i="2"/>
  <c r="A902" i="2"/>
  <c r="A397" i="2"/>
  <c r="A912" i="2"/>
  <c r="A689" i="2"/>
  <c r="A337" i="2"/>
  <c r="A224" i="2"/>
  <c r="A111" i="2"/>
  <c r="A879" i="2"/>
  <c r="A693" i="2"/>
  <c r="A217" i="2"/>
  <c r="A921" i="2"/>
  <c r="A854" i="2"/>
  <c r="A756" i="2"/>
  <c r="A629" i="2"/>
  <c r="A883" i="2"/>
  <c r="A784" i="2"/>
  <c r="A765" i="2"/>
  <c r="A736" i="2"/>
  <c r="A696" i="2"/>
  <c r="A677" i="2"/>
  <c r="A611" i="2"/>
  <c r="A573" i="2"/>
  <c r="A513" i="2"/>
  <c r="A418" i="2"/>
  <c r="A406" i="2"/>
  <c r="A396" i="2"/>
  <c r="A386" i="2"/>
  <c r="A376" i="2"/>
  <c r="A347" i="2"/>
  <c r="A335" i="2"/>
  <c r="A325" i="2"/>
  <c r="A303" i="2"/>
  <c r="A282" i="2"/>
  <c r="A243" i="2"/>
  <c r="A233" i="2"/>
  <c r="A223" i="2"/>
  <c r="A88" i="2"/>
  <c r="A46" i="2"/>
  <c r="A758" i="2"/>
  <c r="A680" i="2"/>
  <c r="A601" i="2"/>
  <c r="A456" i="2"/>
  <c r="A210" i="2"/>
  <c r="A127" i="2"/>
  <c r="A30" i="2"/>
  <c r="A251" i="2"/>
  <c r="A32" i="2"/>
  <c r="A10" i="2"/>
  <c r="A120" i="2"/>
  <c r="A225" i="2"/>
  <c r="A11" i="2"/>
  <c r="A93" i="2"/>
  <c r="A234" i="2"/>
  <c r="A95" i="2"/>
  <c r="A237" i="2"/>
  <c r="A330" i="2"/>
  <c r="A619" i="2"/>
  <c r="A851" i="2"/>
  <c r="A189" i="2"/>
  <c r="A331" i="2"/>
  <c r="A380" i="2"/>
  <c r="A429" i="2"/>
  <c r="A478" i="2"/>
  <c r="A620" i="2"/>
  <c r="A12" i="2"/>
  <c r="A48" i="2"/>
  <c r="A190" i="2"/>
  <c r="A381" i="2"/>
  <c r="A430" i="2"/>
  <c r="A479" i="2"/>
  <c r="A572" i="2"/>
  <c r="A786" i="2"/>
  <c r="A13" i="2"/>
  <c r="A57" i="2"/>
  <c r="A106" i="2"/>
  <c r="A382" i="2"/>
  <c r="A431" i="2"/>
  <c r="A480" i="2"/>
  <c r="A537" i="2"/>
  <c r="A861" i="2"/>
  <c r="A15" i="2"/>
  <c r="A66" i="2"/>
  <c r="A107" i="2"/>
  <c r="A249" i="2"/>
  <c r="A432" i="2"/>
  <c r="A489" i="2"/>
  <c r="A716" i="2"/>
  <c r="A18" i="2"/>
  <c r="A24" i="2"/>
  <c r="A952" i="2"/>
  <c r="A857" i="2"/>
  <c r="A549" i="2"/>
  <c r="A286" i="2"/>
  <c r="A81" i="2"/>
  <c r="A648" i="2"/>
  <c r="A560" i="2"/>
  <c r="A969" i="2"/>
  <c r="A856" i="2"/>
  <c r="A632" i="2"/>
  <c r="A484" i="2"/>
  <c r="A966" i="2"/>
  <c r="A318" i="2"/>
  <c r="A977" i="2"/>
  <c r="A660" i="2"/>
  <c r="A585" i="2"/>
  <c r="A389" i="2"/>
  <c r="A306" i="2"/>
  <c r="A144" i="2"/>
  <c r="A138" i="2"/>
  <c r="A613" i="2"/>
  <c r="A555" i="2"/>
  <c r="A305" i="2"/>
  <c r="A174" i="2"/>
  <c r="A911" i="2"/>
  <c r="A737" i="2"/>
  <c r="A920" i="2"/>
  <c r="A853" i="2"/>
  <c r="A755" i="2"/>
  <c r="A726" i="2"/>
  <c r="A706" i="2"/>
  <c r="A687" i="2"/>
  <c r="A668" i="2"/>
  <c r="A621" i="2"/>
  <c r="A366" i="2"/>
  <c r="A929" i="2"/>
  <c r="A899" i="2"/>
  <c r="A891" i="2"/>
  <c r="A882" i="2"/>
  <c r="A852" i="2"/>
  <c r="A813" i="2"/>
  <c r="A793" i="2"/>
  <c r="A783" i="2"/>
  <c r="A773" i="2"/>
  <c r="A754" i="2"/>
  <c r="A735" i="2"/>
  <c r="A725" i="2"/>
  <c r="A695" i="2"/>
  <c r="A533" i="2"/>
  <c r="A523" i="2"/>
  <c r="A501" i="2"/>
  <c r="A448" i="2"/>
  <c r="A437" i="2"/>
  <c r="A428" i="2"/>
  <c r="A417" i="2"/>
  <c r="A395" i="2"/>
  <c r="A365" i="2"/>
  <c r="A356" i="2"/>
  <c r="A346" i="2"/>
  <c r="A334" i="2"/>
  <c r="A314" i="2"/>
  <c r="A87" i="2"/>
  <c r="A76" i="2"/>
  <c r="A65" i="2"/>
  <c r="A55" i="2"/>
  <c r="A36" i="2"/>
  <c r="A600" i="2"/>
  <c r="A450" i="2"/>
  <c r="A354" i="2"/>
  <c r="A207" i="2"/>
  <c r="A126" i="2"/>
  <c r="A43" i="2"/>
  <c r="A197" i="2"/>
  <c r="A124" i="2"/>
  <c r="A916" i="2"/>
  <c r="A79" i="2"/>
  <c r="A988" i="2"/>
  <c r="A828" i="2"/>
  <c r="A778" i="2"/>
  <c r="A497" i="2"/>
  <c r="A134" i="2"/>
  <c r="A983" i="2"/>
  <c r="A78" i="2"/>
  <c r="A987" i="2"/>
  <c r="A894" i="2"/>
  <c r="A845" i="2"/>
  <c r="A699" i="2"/>
  <c r="A556" i="2"/>
  <c r="A215" i="2"/>
  <c r="A92" i="2"/>
  <c r="A836" i="2"/>
  <c r="A75" i="2"/>
  <c r="A855" i="2"/>
  <c r="A690" i="2"/>
  <c r="A604" i="2"/>
  <c r="A359" i="2"/>
  <c r="A214" i="2"/>
  <c r="A112" i="2"/>
  <c r="A762" i="2"/>
  <c r="A315" i="2"/>
  <c r="A967" i="2"/>
  <c r="A884" i="2"/>
  <c r="A669" i="2"/>
  <c r="A622" i="2"/>
  <c r="A326" i="2"/>
  <c r="A204" i="2"/>
  <c r="A300" i="2"/>
  <c r="A864" i="2"/>
  <c r="A825" i="2"/>
  <c r="A727" i="2"/>
  <c r="A900" i="2"/>
  <c r="A973" i="2"/>
  <c r="A947" i="2"/>
  <c r="A937" i="2"/>
  <c r="A909" i="2"/>
  <c r="A881" i="2"/>
  <c r="A802" i="2"/>
  <c r="A792" i="2"/>
  <c r="A764" i="2"/>
  <c r="A745" i="2"/>
  <c r="A705" i="2"/>
  <c r="A656" i="2"/>
  <c r="A571" i="2"/>
  <c r="A532" i="2"/>
  <c r="A522" i="2"/>
  <c r="A458" i="2"/>
  <c r="A447" i="2"/>
  <c r="A416" i="2"/>
  <c r="A405" i="2"/>
  <c r="A394" i="2"/>
  <c r="A375" i="2"/>
  <c r="A364" i="2"/>
  <c r="A345" i="2"/>
  <c r="A313" i="2"/>
  <c r="A301" i="2"/>
  <c r="A139" i="2"/>
  <c r="A54" i="2"/>
  <c r="A994" i="2"/>
  <c r="A678" i="2"/>
  <c r="A441" i="2"/>
  <c r="A351" i="2"/>
  <c r="A270" i="2"/>
  <c r="A123" i="2"/>
  <c r="A27" i="2"/>
  <c r="A287" i="2"/>
  <c r="A115" i="2"/>
  <c r="A787" i="2"/>
  <c r="A162" i="2"/>
  <c r="A789" i="2"/>
  <c r="A662" i="2"/>
  <c r="A605" i="2"/>
  <c r="A296" i="2"/>
  <c r="A166" i="2"/>
  <c r="A915" i="2"/>
  <c r="A159" i="2"/>
  <c r="A996" i="2"/>
  <c r="A914" i="2"/>
  <c r="A818" i="2"/>
  <c r="A681" i="2"/>
  <c r="A226" i="2"/>
  <c r="A175" i="2"/>
  <c r="A768" i="2"/>
  <c r="A157" i="2"/>
  <c r="A995" i="2"/>
  <c r="A893" i="2"/>
  <c r="A709" i="2"/>
  <c r="A614" i="2"/>
  <c r="A421" i="2"/>
  <c r="A184" i="2"/>
  <c r="A835" i="2"/>
  <c r="A219" i="2"/>
  <c r="A865" i="2"/>
  <c r="A767" i="2"/>
  <c r="A659" i="2"/>
  <c r="A584" i="2"/>
  <c r="A388" i="2"/>
  <c r="A283" i="2"/>
  <c r="A72" i="2"/>
  <c r="A901" i="2"/>
  <c r="A766" i="2"/>
  <c r="A612" i="2"/>
  <c r="A939" i="2"/>
  <c r="A910" i="2"/>
  <c r="A863" i="2"/>
  <c r="A982" i="2"/>
  <c r="A972" i="2"/>
  <c r="A946" i="2"/>
  <c r="A936" i="2"/>
  <c r="A898" i="2"/>
  <c r="A821" i="2"/>
  <c r="A812" i="2"/>
  <c r="A782" i="2"/>
  <c r="A763" i="2"/>
  <c r="A753" i="2"/>
  <c r="A744" i="2"/>
  <c r="A724" i="2"/>
  <c r="A715" i="2"/>
  <c r="A704" i="2"/>
  <c r="A655" i="2"/>
  <c r="A570" i="2"/>
  <c r="A521" i="2"/>
  <c r="A467" i="2"/>
  <c r="A446" i="2"/>
  <c r="A415" i="2"/>
  <c r="A404" i="2"/>
  <c r="A393" i="2"/>
  <c r="A374" i="2"/>
  <c r="A355" i="2"/>
  <c r="A333" i="2"/>
  <c r="A240" i="2"/>
  <c r="A220" i="2"/>
  <c r="A97" i="2"/>
  <c r="A63" i="2"/>
  <c r="A993" i="2"/>
  <c r="A722" i="2"/>
  <c r="A676" i="2"/>
  <c r="A591" i="2"/>
  <c r="A510" i="2"/>
  <c r="A267" i="2"/>
  <c r="A108" i="2"/>
  <c r="A25" i="2"/>
  <c r="A156" i="2"/>
  <c r="A61" i="2"/>
  <c r="A849" i="2"/>
  <c r="A408" i="2"/>
  <c r="A961" i="2"/>
  <c r="A846" i="2"/>
  <c r="A711" i="2"/>
  <c r="A577" i="2"/>
  <c r="A464" i="2"/>
  <c r="A196" i="2"/>
  <c r="A40" i="2"/>
  <c r="A718" i="2"/>
  <c r="A490" i="2"/>
  <c r="A933" i="2"/>
  <c r="A623" i="2"/>
  <c r="A546" i="2"/>
  <c r="A959" i="2"/>
  <c r="A817" i="2"/>
  <c r="A631" i="2"/>
  <c r="A575" i="2"/>
  <c r="A327" i="2"/>
  <c r="A195" i="2"/>
  <c r="A91" i="2"/>
  <c r="A73" i="2"/>
  <c r="A922" i="2"/>
  <c r="A708" i="2"/>
  <c r="A630" i="2"/>
  <c r="A482" i="2"/>
  <c r="A317" i="2"/>
  <c r="A164" i="2"/>
  <c r="A459" i="2"/>
  <c r="A981" i="2"/>
  <c r="A955" i="2"/>
  <c r="A860" i="2"/>
  <c r="A831" i="2"/>
  <c r="A811" i="2"/>
  <c r="A800" i="2"/>
  <c r="A781" i="2"/>
  <c r="A743" i="2"/>
  <c r="A733" i="2"/>
  <c r="A714" i="2"/>
  <c r="A703" i="2"/>
  <c r="A675" i="2"/>
  <c r="A477" i="2"/>
  <c r="A289" i="2"/>
  <c r="A239" i="2"/>
  <c r="A116" i="2"/>
  <c r="A105" i="2"/>
  <c r="A96" i="2"/>
  <c r="A33" i="2"/>
  <c r="A794" i="2"/>
  <c r="A721" i="2"/>
  <c r="A654" i="2"/>
  <c r="A589" i="2"/>
  <c r="A507" i="2"/>
  <c r="A411" i="2"/>
  <c r="A265" i="2"/>
  <c r="A94" i="2"/>
  <c r="A167" i="2"/>
  <c r="A135" i="2"/>
  <c r="A984" i="2"/>
  <c r="A561" i="2"/>
  <c r="A491" i="2"/>
  <c r="A997" i="2"/>
  <c r="A867" i="2"/>
  <c r="A797" i="2"/>
  <c r="A672" i="2"/>
  <c r="A538" i="2"/>
  <c r="A114" i="2"/>
  <c r="A769" i="2"/>
  <c r="A319" i="2"/>
  <c r="A942" i="2"/>
  <c r="A576" i="2"/>
  <c r="A307" i="2"/>
  <c r="A185" i="2"/>
  <c r="A903" i="2"/>
  <c r="A235" i="2"/>
  <c r="A4" i="2"/>
  <c r="A866" i="2"/>
  <c r="A670" i="2"/>
  <c r="A595" i="2"/>
  <c r="A338" i="2"/>
  <c r="A543" i="2"/>
  <c r="A698" i="2"/>
  <c r="A834" i="2"/>
  <c r="A990" i="2"/>
  <c r="A954" i="2"/>
  <c r="A848" i="2"/>
  <c r="A830" i="2"/>
  <c r="A799" i="2"/>
  <c r="A780" i="2"/>
  <c r="A771" i="2"/>
  <c r="A761" i="2"/>
  <c r="A751" i="2"/>
  <c r="A742" i="2"/>
  <c r="A732" i="2"/>
  <c r="A723" i="2"/>
  <c r="A579" i="2"/>
  <c r="A568" i="2"/>
  <c r="A558" i="2"/>
  <c r="A530" i="2"/>
  <c r="A508" i="2"/>
  <c r="A487" i="2"/>
  <c r="A298" i="2"/>
  <c r="A288" i="2"/>
  <c r="A238" i="2"/>
  <c r="A218" i="2"/>
  <c r="A188" i="2"/>
  <c r="A168" i="2"/>
  <c r="A146" i="2"/>
  <c r="A136" i="2"/>
  <c r="A125" i="2"/>
  <c r="A42" i="2"/>
  <c r="A788" i="2"/>
  <c r="A720" i="2"/>
  <c r="A588" i="2"/>
  <c r="A492" i="2"/>
  <c r="A409" i="2"/>
  <c r="A321" i="2"/>
  <c r="A264" i="2"/>
  <c r="A80" i="2"/>
  <c r="A638" i="2"/>
  <c r="A9" i="2"/>
  <c r="A907" i="2"/>
  <c r="A843" i="2"/>
  <c r="A713" i="2"/>
  <c r="A657" i="2"/>
  <c r="A602" i="2"/>
  <c r="A496" i="2"/>
  <c r="A445" i="2"/>
  <c r="A414" i="2"/>
  <c r="A312" i="2"/>
  <c r="A261" i="2"/>
  <c r="A222" i="2"/>
  <c r="A202" i="2"/>
  <c r="A121" i="2"/>
  <c r="A90" i="2"/>
  <c r="A69" i="2"/>
  <c r="A39" i="2"/>
  <c r="A1003" i="2"/>
  <c r="A986" i="2"/>
  <c r="A950" i="2"/>
  <c r="A923" i="2"/>
  <c r="A906" i="2"/>
  <c r="A897" i="2"/>
  <c r="A889" i="2"/>
  <c r="A880" i="2"/>
  <c r="A871" i="2"/>
  <c r="A862" i="2"/>
  <c r="A824" i="2"/>
  <c r="A815" i="2"/>
  <c r="A777" i="2"/>
  <c r="A749" i="2"/>
  <c r="A730" i="2"/>
  <c r="A712" i="2"/>
  <c r="A702" i="2"/>
  <c r="A685" i="2"/>
  <c r="A666" i="2"/>
  <c r="A647" i="2"/>
  <c r="A637" i="2"/>
  <c r="A553" i="2"/>
  <c r="A525" i="2"/>
  <c r="A515" i="2"/>
  <c r="A505" i="2"/>
  <c r="A495" i="2"/>
  <c r="A485" i="2"/>
  <c r="A475" i="2"/>
  <c r="A465" i="2"/>
  <c r="A444" i="2"/>
  <c r="A434" i="2"/>
  <c r="A425" i="2"/>
  <c r="A413" i="2"/>
  <c r="A383" i="2"/>
  <c r="A311" i="2"/>
  <c r="A290" i="2"/>
  <c r="A280" i="2"/>
  <c r="A241" i="2"/>
  <c r="A231" i="2"/>
  <c r="A221" i="2"/>
  <c r="A192" i="2"/>
  <c r="A171" i="2"/>
  <c r="A140" i="2"/>
  <c r="A130" i="2"/>
  <c r="A109" i="2"/>
  <c r="A100" i="2"/>
  <c r="A89" i="2"/>
  <c r="A59" i="2"/>
  <c r="A49" i="2"/>
  <c r="A38" i="2"/>
  <c r="A19" i="2"/>
  <c r="A8" i="2"/>
  <c r="A941" i="2"/>
  <c r="A890" i="2"/>
  <c r="A806" i="2"/>
  <c r="A667" i="2"/>
  <c r="A526" i="2"/>
  <c r="A476" i="2"/>
  <c r="A435" i="2"/>
  <c r="A363" i="2"/>
  <c r="A281" i="2"/>
  <c r="A232" i="2"/>
  <c r="A141" i="2"/>
  <c r="A1002" i="2"/>
  <c r="A976" i="2"/>
  <c r="A931" i="2"/>
  <c r="A888" i="2"/>
  <c r="A870" i="2"/>
  <c r="A842" i="2"/>
  <c r="A833" i="2"/>
  <c r="A823" i="2"/>
  <c r="A814" i="2"/>
  <c r="A804" i="2"/>
  <c r="A776" i="2"/>
  <c r="A740" i="2"/>
  <c r="A684" i="2"/>
  <c r="A665" i="2"/>
  <c r="A636" i="2"/>
  <c r="A609" i="2"/>
  <c r="A552" i="2"/>
  <c r="A504" i="2"/>
  <c r="A474" i="2"/>
  <c r="A455" i="2"/>
  <c r="A443" i="2"/>
  <c r="A424" i="2"/>
  <c r="A412" i="2"/>
  <c r="A310" i="2"/>
  <c r="A279" i="2"/>
  <c r="A269" i="2"/>
  <c r="A260" i="2"/>
  <c r="A250" i="2"/>
  <c r="A211" i="2"/>
  <c r="A201" i="2"/>
  <c r="A191" i="2"/>
  <c r="A160" i="2"/>
  <c r="A119" i="2"/>
  <c r="A99" i="2"/>
  <c r="A68" i="2"/>
  <c r="A58" i="2"/>
  <c r="A28" i="2"/>
  <c r="A932" i="2"/>
  <c r="A872" i="2"/>
  <c r="A796" i="2"/>
  <c r="A741" i="2"/>
  <c r="A610" i="2"/>
  <c r="A466" i="2"/>
  <c r="A426" i="2"/>
  <c r="A384" i="2"/>
  <c r="A291" i="2"/>
  <c r="A252" i="2"/>
  <c r="A193" i="2"/>
  <c r="A110" i="2"/>
  <c r="A60" i="2"/>
  <c r="A20" i="2"/>
  <c r="A1001" i="2"/>
  <c r="A985" i="2"/>
  <c r="A975" i="2"/>
  <c r="A965" i="2"/>
  <c r="A957" i="2"/>
  <c r="A949" i="2"/>
  <c r="A930" i="2"/>
  <c r="A887" i="2"/>
  <c r="A869" i="2"/>
  <c r="A822" i="2"/>
  <c r="A803" i="2"/>
  <c r="A785" i="2"/>
  <c r="A775" i="2"/>
  <c r="A748" i="2"/>
  <c r="A739" i="2"/>
  <c r="A729" i="2"/>
  <c r="A683" i="2"/>
  <c r="A664" i="2"/>
  <c r="A646" i="2"/>
  <c r="A635" i="2"/>
  <c r="A618" i="2"/>
  <c r="A608" i="2"/>
  <c r="A599" i="2"/>
  <c r="A551" i="2"/>
  <c r="A524" i="2"/>
  <c r="A503" i="2"/>
  <c r="A473" i="2"/>
  <c r="A454" i="2"/>
  <c r="A442" i="2"/>
  <c r="A433" i="2"/>
  <c r="A423" i="2"/>
  <c r="A400" i="2"/>
  <c r="A361" i="2"/>
  <c r="A340" i="2"/>
  <c r="A329" i="2"/>
  <c r="A309" i="2"/>
  <c r="A278" i="2"/>
  <c r="A268" i="2"/>
  <c r="A259" i="2"/>
  <c r="A230" i="2"/>
  <c r="A169" i="2"/>
  <c r="A148" i="2"/>
  <c r="A118" i="2"/>
  <c r="A98" i="2"/>
  <c r="A67" i="2"/>
  <c r="A37" i="2"/>
  <c r="A17" i="2"/>
  <c r="A7" i="2"/>
  <c r="A924" i="2"/>
  <c r="A816" i="2"/>
  <c r="A731" i="2"/>
  <c r="A686" i="2"/>
  <c r="A628" i="2"/>
  <c r="A516" i="2"/>
  <c r="A486" i="2"/>
  <c r="A403" i="2"/>
  <c r="A332" i="2"/>
  <c r="A242" i="2"/>
  <c r="A212" i="2"/>
  <c r="A974" i="2"/>
  <c r="A948" i="2"/>
  <c r="A938" i="2"/>
  <c r="A913" i="2"/>
  <c r="A904" i="2"/>
  <c r="A886" i="2"/>
  <c r="A859" i="2"/>
  <c r="A840" i="2"/>
  <c r="A774" i="2"/>
  <c r="A757" i="2"/>
  <c r="A738" i="2"/>
  <c r="A728" i="2"/>
  <c r="A710" i="2"/>
  <c r="A682" i="2"/>
  <c r="A674" i="2"/>
  <c r="A663" i="2"/>
  <c r="A653" i="2"/>
  <c r="A645" i="2"/>
  <c r="A634" i="2"/>
  <c r="A607" i="2"/>
  <c r="A598" i="2"/>
  <c r="A569" i="2"/>
  <c r="A559" i="2"/>
  <c r="A542" i="2"/>
  <c r="A502" i="2"/>
  <c r="A483" i="2"/>
  <c r="A453" i="2"/>
  <c r="A422" i="2"/>
  <c r="A360" i="2"/>
  <c r="A350" i="2"/>
  <c r="A339" i="2"/>
  <c r="A308" i="2"/>
  <c r="A229" i="2"/>
  <c r="A158" i="2"/>
  <c r="A147" i="2"/>
  <c r="A117" i="2"/>
  <c r="A77" i="2"/>
  <c r="A56" i="2"/>
  <c r="A26" i="2"/>
  <c r="A16" i="2"/>
  <c r="A6" i="2"/>
  <c r="A673" i="2"/>
  <c r="A592" i="2"/>
  <c r="A582" i="2"/>
  <c r="A565" i="2"/>
  <c r="A548" i="2"/>
  <c r="A529" i="2"/>
  <c r="A520" i="2"/>
  <c r="A481" i="2"/>
  <c r="A471" i="2"/>
  <c r="A452" i="2"/>
  <c r="A373" i="2"/>
  <c r="A344" i="2"/>
  <c r="A324" i="2"/>
  <c r="A295" i="2"/>
  <c r="A276" i="2"/>
  <c r="A257" i="2"/>
  <c r="A248" i="2"/>
  <c r="A228" i="2"/>
  <c r="A182" i="2"/>
  <c r="A152" i="2"/>
  <c r="A133" i="2"/>
  <c r="A104" i="2"/>
  <c r="A85" i="2"/>
  <c r="A74" i="2"/>
  <c r="A53" i="2"/>
  <c r="A35" i="2"/>
  <c r="A5" i="2"/>
  <c r="A627" i="2"/>
  <c r="A581" i="2"/>
  <c r="A564" i="2"/>
  <c r="A547" i="2"/>
  <c r="A519" i="2"/>
  <c r="A509" i="2"/>
  <c r="A500" i="2"/>
  <c r="A470" i="2"/>
  <c r="A461" i="2"/>
  <c r="A451" i="2"/>
  <c r="A401" i="2"/>
  <c r="A392" i="2"/>
  <c r="A372" i="2"/>
  <c r="A362" i="2"/>
  <c r="A353" i="2"/>
  <c r="A343" i="2"/>
  <c r="A323" i="2"/>
  <c r="A294" i="2"/>
  <c r="A275" i="2"/>
  <c r="A266" i="2"/>
  <c r="A256" i="2"/>
  <c r="A247" i="2"/>
  <c r="A227" i="2"/>
  <c r="A181" i="2"/>
  <c r="A161" i="2"/>
  <c r="A113" i="2"/>
  <c r="A84" i="2"/>
  <c r="A62" i="2"/>
  <c r="A52" i="2"/>
  <c r="A34" i="2"/>
  <c r="A895" i="2"/>
  <c r="A779" i="2"/>
  <c r="A752" i="2"/>
  <c r="A563" i="2"/>
  <c r="A536" i="2"/>
  <c r="A460" i="2"/>
  <c r="A440" i="2"/>
  <c r="A371" i="2"/>
  <c r="A352" i="2"/>
  <c r="A342" i="2"/>
  <c r="A322" i="2"/>
  <c r="A293" i="2"/>
  <c r="A200" i="2"/>
  <c r="A180" i="2"/>
  <c r="A170" i="2"/>
  <c r="A151" i="2"/>
  <c r="A132" i="2"/>
  <c r="A103" i="2"/>
  <c r="A83" i="2"/>
  <c r="A14" i="2"/>
  <c r="A652" i="2"/>
  <c r="A626" i="2"/>
  <c r="A617" i="2"/>
  <c r="A590" i="2"/>
  <c r="A580" i="2"/>
  <c r="A562" i="2"/>
  <c r="A554" i="2"/>
  <c r="A545" i="2"/>
  <c r="A535" i="2"/>
  <c r="A518" i="2"/>
  <c r="A499" i="2"/>
  <c r="A469" i="2"/>
  <c r="A449" i="2"/>
  <c r="A439" i="2"/>
  <c r="A410" i="2"/>
  <c r="A391" i="2"/>
  <c r="A370" i="2"/>
  <c r="A341" i="2"/>
  <c r="A302" i="2"/>
  <c r="A292" i="2"/>
  <c r="A254" i="2"/>
  <c r="A246" i="2"/>
  <c r="A199" i="2"/>
  <c r="A179" i="2"/>
  <c r="A150" i="2"/>
  <c r="A131" i="2"/>
  <c r="A122" i="2"/>
  <c r="A82" i="2"/>
  <c r="A71" i="2"/>
  <c r="A51" i="2"/>
  <c r="A841" i="2"/>
  <c r="A832" i="2"/>
  <c r="A805" i="2"/>
  <c r="A750" i="2"/>
  <c r="A697" i="2"/>
  <c r="A688" i="2"/>
  <c r="A661" i="2"/>
  <c r="A644" i="2"/>
  <c r="A625" i="2"/>
  <c r="A616" i="2"/>
  <c r="A544" i="2"/>
  <c r="A534" i="2"/>
  <c r="A517" i="2"/>
  <c r="A488" i="2"/>
  <c r="A468" i="2"/>
  <c r="A438" i="2"/>
  <c r="A420" i="2"/>
  <c r="A390" i="2"/>
  <c r="A263" i="2"/>
  <c r="A245" i="2"/>
  <c r="A208" i="2"/>
  <c r="A198" i="2"/>
  <c r="A178" i="2"/>
  <c r="A149" i="2"/>
  <c r="A102" i="2"/>
  <c r="A70" i="2"/>
  <c r="A23" i="2"/>
  <c r="A86" i="2"/>
  <c r="A50" i="2"/>
  <c r="A41" i="2"/>
  <c r="A209" i="2"/>
  <c r="A172" i="2"/>
  <c r="A137" i="2"/>
  <c r="A101" i="2"/>
  <c r="A64" i="2"/>
  <c r="A29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<sst xmlns="http://schemas.openxmlformats.org/spreadsheetml/2006/main" count="6399" uniqueCount="1815">
  <si>
    <t>Column Name</t>
  </si>
  <si>
    <t>Description</t>
  </si>
  <si>
    <t>Nomor pembelian</t>
  </si>
  <si>
    <t>Order Date</t>
  </si>
  <si>
    <t>Tanggal pembelian</t>
  </si>
  <si>
    <t>Order Year</t>
  </si>
  <si>
    <t>Tahun pembelian</t>
  </si>
  <si>
    <t>Customer Name</t>
  </si>
  <si>
    <t>Nama pelanggan</t>
  </si>
  <si>
    <t>City</t>
  </si>
  <si>
    <t>Kota pelanggan</t>
  </si>
  <si>
    <t>Account Manager ID</t>
  </si>
  <si>
    <t>Manager</t>
  </si>
  <si>
    <t>Product Name</t>
  </si>
  <si>
    <t>Nama produk</t>
  </si>
  <si>
    <t>Product Container</t>
  </si>
  <si>
    <t>Packing produk</t>
  </si>
  <si>
    <t>Ship Date</t>
  </si>
  <si>
    <t>Tangal pengiriman</t>
  </si>
  <si>
    <t>Cost Price</t>
  </si>
  <si>
    <t>Biaya produksi</t>
  </si>
  <si>
    <t>Retail Price</t>
  </si>
  <si>
    <t>Harga penjualan</t>
  </si>
  <si>
    <t>Profit Margin</t>
  </si>
  <si>
    <t>Order Quantity</t>
  </si>
  <si>
    <t>Jumlah pembelian</t>
  </si>
  <si>
    <t>Sub Total</t>
  </si>
  <si>
    <t>Discount %</t>
  </si>
  <si>
    <t>Diskon dalam persentase</t>
  </si>
  <si>
    <t>Total</t>
  </si>
  <si>
    <t>Superstore Data</t>
  </si>
  <si>
    <t>Wawan Riyanti</t>
  </si>
  <si>
    <t>Jakarta</t>
  </si>
  <si>
    <t>E1028</t>
  </si>
  <si>
    <t>Artisan Heavy-Duty EZD  Binder With Locking Rings</t>
  </si>
  <si>
    <t>Small Box</t>
  </si>
  <si>
    <t>Aditya Nainggolan</t>
  </si>
  <si>
    <t>E1029</t>
  </si>
  <si>
    <t>DrawIt Pizazz Watercolor Pencils, 10-Color Set with Brush</t>
  </si>
  <si>
    <t>Wrap Bag</t>
  </si>
  <si>
    <t>Rafid Sudiati</t>
  </si>
  <si>
    <t>Surabaya</t>
  </si>
  <si>
    <t>E1030</t>
  </si>
  <si>
    <t>Message Book, One Form per Page</t>
  </si>
  <si>
    <t>Pangestu Maulana</t>
  </si>
  <si>
    <t>Cando S750 Color Inkjet Printer</t>
  </si>
  <si>
    <t>Jumbo Drum</t>
  </si>
  <si>
    <t>Pangestu Hariyah</t>
  </si>
  <si>
    <t>E1031</t>
  </si>
  <si>
    <t>Steady EarthWrite Recycled Pencils, Medium Soft, #2</t>
  </si>
  <si>
    <t>Nilam Suwarno</t>
  </si>
  <si>
    <t>12 Colored Short Pencils</t>
  </si>
  <si>
    <t>Endra Hutapea</t>
  </si>
  <si>
    <t>E1032</t>
  </si>
  <si>
    <t>Multimedia Mailers</t>
  </si>
  <si>
    <t>Embuh Wibisono</t>
  </si>
  <si>
    <t>Pizazz Dustless Chalk Sticks</t>
  </si>
  <si>
    <t>Unggul Zulaika</t>
  </si>
  <si>
    <t>TypeRight Side-Opening Peel &amp; Seel Expanding Envelopes</t>
  </si>
  <si>
    <t>Gina Rajata</t>
  </si>
  <si>
    <t>E1033</t>
  </si>
  <si>
    <t>Artisan Printable Repositionable Plastic Tabs</t>
  </si>
  <si>
    <t>Opung Kuswoyo</t>
  </si>
  <si>
    <t>Security-Tint Envelopes</t>
  </si>
  <si>
    <t>Rafi Januar</t>
  </si>
  <si>
    <t>E1034</t>
  </si>
  <si>
    <t>Ajimat Hutapea</t>
  </si>
  <si>
    <t>Artisan Arch Ring Binders</t>
  </si>
  <si>
    <t>Rafi Anggriawan</t>
  </si>
  <si>
    <t>OIC Thumb-Tacks</t>
  </si>
  <si>
    <t>Balamantri Mandasari</t>
  </si>
  <si>
    <t>E1035</t>
  </si>
  <si>
    <t>Apex Elite Stainless Steel Scissors</t>
  </si>
  <si>
    <t>Small Pack</t>
  </si>
  <si>
    <t>Gaduh Hassanah</t>
  </si>
  <si>
    <t>Bagya Permadi</t>
  </si>
  <si>
    <t>Alto Parchment Paper, Assorted Colors</t>
  </si>
  <si>
    <t>Labuh Permata</t>
  </si>
  <si>
    <t>E1036</t>
  </si>
  <si>
    <t>Steady Colorific Colored Pencils, 12/Box</t>
  </si>
  <si>
    <t>Lantar Yuliarti</t>
  </si>
  <si>
    <t>Smiths Gold Paper Clips</t>
  </si>
  <si>
    <t>Darijan Pratiwi</t>
  </si>
  <si>
    <t>E1037</t>
  </si>
  <si>
    <t>UGen RF Keyboard</t>
  </si>
  <si>
    <t>Ami Utami</t>
  </si>
  <si>
    <t>Citra Riyanti</t>
  </si>
  <si>
    <t>Smiths Standard Envelopes</t>
  </si>
  <si>
    <t>Aris Ardianto</t>
  </si>
  <si>
    <t>Office Shears by Apex</t>
  </si>
  <si>
    <t>Kenes Nababan</t>
  </si>
  <si>
    <t>Cindy Maryati</t>
  </si>
  <si>
    <t>EcoTones Memo Sheets</t>
  </si>
  <si>
    <t>Prakosa Budiman</t>
  </si>
  <si>
    <t>Smiths Premium Bright 1-Part Blank Computer Paper</t>
  </si>
  <si>
    <t>Padma Nugroho</t>
  </si>
  <si>
    <t>Artisan 479 Labels</t>
  </si>
  <si>
    <t>Ani Maryadi</t>
  </si>
  <si>
    <t>E1038</t>
  </si>
  <si>
    <t>Beekin 105-Key Black Keyboard</t>
  </si>
  <si>
    <t>Bakidin Anggraini</t>
  </si>
  <si>
    <t>Adesso Programmable 142-Key Keyboard</t>
  </si>
  <si>
    <t>Koko Setiawan</t>
  </si>
  <si>
    <t>E1039</t>
  </si>
  <si>
    <t>Teddy Yuniar</t>
  </si>
  <si>
    <t>TechSavi Access Keyboard</t>
  </si>
  <si>
    <t>Narji Wastuti</t>
  </si>
  <si>
    <t>Smiths SlimLine Pencil Sharpener</t>
  </si>
  <si>
    <t>Ami Maheswara</t>
  </si>
  <si>
    <t>Artisan Premier Heavy-Duty Binder with Round Locking Rings</t>
  </si>
  <si>
    <t>Pandu Mustofa</t>
  </si>
  <si>
    <t>Ganep Waluyo</t>
  </si>
  <si>
    <t>Elma Agustina</t>
  </si>
  <si>
    <t>Steady Liquid Accent Highlighters</t>
  </si>
  <si>
    <t>Wani Astuti</t>
  </si>
  <si>
    <t>Laser Neon Mac Format Diskettes, 10/Pack</t>
  </si>
  <si>
    <t>Raditya Uwais</t>
  </si>
  <si>
    <t>Cahyono Hidayanto</t>
  </si>
  <si>
    <t>Rika Uwais</t>
  </si>
  <si>
    <t>1726 Digital Answering Machine</t>
  </si>
  <si>
    <t>Medium Box</t>
  </si>
  <si>
    <t>Indra Jailani</t>
  </si>
  <si>
    <t>Umaya Yulianti</t>
  </si>
  <si>
    <t>Artisan Flip-Chart Easel Binder, Black</t>
  </si>
  <si>
    <t>Yuni Pradipta</t>
  </si>
  <si>
    <t>DrawIt Colored Pencils, 48-Color Set</t>
  </si>
  <si>
    <t>Kasiran Firgantoro</t>
  </si>
  <si>
    <t>600 Series Non-Flip</t>
  </si>
  <si>
    <t>Gara Aryani</t>
  </si>
  <si>
    <t>210 Trimline Phone, White</t>
  </si>
  <si>
    <t>Steady Major Accent Highlighters</t>
  </si>
  <si>
    <t>Saadat Hutapea</t>
  </si>
  <si>
    <t>Aluminum Document Frame</t>
  </si>
  <si>
    <t>Asman Dongoran</t>
  </si>
  <si>
    <t>Artisan Legal 4-Ring Binder</t>
  </si>
  <si>
    <t>Cengkal Prastuti</t>
  </si>
  <si>
    <t>Bandung</t>
  </si>
  <si>
    <t>Danang Uyainah</t>
  </si>
  <si>
    <t>Smiths General Use 3-Ring Binders</t>
  </si>
  <si>
    <t>Cager Prayoga</t>
  </si>
  <si>
    <t>Alto Keyboard-In-A-Box</t>
  </si>
  <si>
    <t>Joko Mangunsong</t>
  </si>
  <si>
    <t>Artisan 48 Labels</t>
  </si>
  <si>
    <t>Gandewa Hariyah</t>
  </si>
  <si>
    <t>UGen Ultra Professional Cordless Optical Suite</t>
  </si>
  <si>
    <t>Candrakanta Aryani</t>
  </si>
  <si>
    <t>OIC Colored Binder Clips, Assorted Sizes</t>
  </si>
  <si>
    <t>Enteng Simbolon</t>
  </si>
  <si>
    <t>Colored Envelopes</t>
  </si>
  <si>
    <t>Limar Laksmiwati</t>
  </si>
  <si>
    <t>Xit Blank Computer Paper</t>
  </si>
  <si>
    <t>Gara Purwanti</t>
  </si>
  <si>
    <t>Alto Perma 2700 Stacking Storage Drawers</t>
  </si>
  <si>
    <t>Cakrawala Yuniar</t>
  </si>
  <si>
    <t>TechSavi Cordless Elite Duo</t>
  </si>
  <si>
    <t>Gamani Laksmiwati</t>
  </si>
  <si>
    <t>Wirebound Message Book, 4 per Page</t>
  </si>
  <si>
    <t>Caturangga Dabukke</t>
  </si>
  <si>
    <t>Laser DVD-RAM discs</t>
  </si>
  <si>
    <t>Jagapati Marbun</t>
  </si>
  <si>
    <t>E1040</t>
  </si>
  <si>
    <t>Artisan Hi-Liter Fluorescent Desk Style Markers</t>
  </si>
  <si>
    <t>Saiful Putra</t>
  </si>
  <si>
    <t>Yuni Wastuti</t>
  </si>
  <si>
    <t>Cahya Purnawati</t>
  </si>
  <si>
    <t>Asmadi Simanjuntak</t>
  </si>
  <si>
    <t>E1041</t>
  </si>
  <si>
    <t>Kamila Sinaga</t>
  </si>
  <si>
    <t>Deluxe Rollaway Locking File with Drawer</t>
  </si>
  <si>
    <t>Ibun Haryanto</t>
  </si>
  <si>
    <t>Chandra Firmansyah</t>
  </si>
  <si>
    <t>Smiths Colored Interoffice Envelopes</t>
  </si>
  <si>
    <t>Eja Anggriawan</t>
  </si>
  <si>
    <t>Harja Pratiwi</t>
  </si>
  <si>
    <t>Wirebound Voice Message Log Book</t>
  </si>
  <si>
    <t>Hasan Megantara</t>
  </si>
  <si>
    <t>Widya Sihotang</t>
  </si>
  <si>
    <t>Wulan Mustofa</t>
  </si>
  <si>
    <t>Smiths Metal Binder Clips</t>
  </si>
  <si>
    <t>Danang Mansur</t>
  </si>
  <si>
    <t>3Max Organizer Strips</t>
  </si>
  <si>
    <t>Luhung Padmasari</t>
  </si>
  <si>
    <t>PastelOcean Color Pencil Set</t>
  </si>
  <si>
    <t>Respati Puspita</t>
  </si>
  <si>
    <t>Galang Sitompul</t>
  </si>
  <si>
    <t>Economy Binders</t>
  </si>
  <si>
    <t>Kayla Sihombing</t>
  </si>
  <si>
    <t>HFX 6S Scientific Calculator</t>
  </si>
  <si>
    <t>Jumadi Suartini</t>
  </si>
  <si>
    <t>Rachel Pertiwi</t>
  </si>
  <si>
    <t>Ellis Wahyudin</t>
  </si>
  <si>
    <t>Self-Adhesive Removable Labels</t>
  </si>
  <si>
    <t>Praba Widodo</t>
  </si>
  <si>
    <t>TypeRight  Top-Opening Peel &amp; Seel Envelopes, Plain White</t>
  </si>
  <si>
    <t>Ibrani Widiastuti</t>
  </si>
  <si>
    <t>Karsa Kuswoyo</t>
  </si>
  <si>
    <t>TypeRight  Top-Opening Peel &amp; Seel  Envelopes, Gray</t>
  </si>
  <si>
    <t>Zulaikha Salahudin</t>
  </si>
  <si>
    <t>Artisan Non-Stick Binders</t>
  </si>
  <si>
    <t>DrawIt Colored Pencils</t>
  </si>
  <si>
    <t>Siska Halim</t>
  </si>
  <si>
    <t>Smiths Pen Style Liquid Stix; Assorted (yellow, pink, green, blue, orange), 5/Pack</t>
  </si>
  <si>
    <t>Steady Liquid Accent Tank-Style Highlighters</t>
  </si>
  <si>
    <t>Marsito Prasetya</t>
  </si>
  <si>
    <t>Bagged Rubber Bands</t>
  </si>
  <si>
    <t>Kuncara Hasanah</t>
  </si>
  <si>
    <t>UGen Ultra Cordless Optical Suite</t>
  </si>
  <si>
    <t>Warta Situmorang</t>
  </si>
  <si>
    <t>Saadat Manullang</t>
  </si>
  <si>
    <t>Cando PC940 Copier</t>
  </si>
  <si>
    <t>Rina Simanjuntak</t>
  </si>
  <si>
    <t>TechSavi Internet Navigator Keyboard</t>
  </si>
  <si>
    <t>Artisan Hi-Liter Smear-Safe Highlighters</t>
  </si>
  <si>
    <t>Hari Situmorang</t>
  </si>
  <si>
    <t>Artisan Hanging File Binders</t>
  </si>
  <si>
    <t>Oman Sihombing</t>
  </si>
  <si>
    <t>Beekin 6 Outlet Metallic Surge Strip</t>
  </si>
  <si>
    <t>Tira Wibowo</t>
  </si>
  <si>
    <t>Martani Sudiati</t>
  </si>
  <si>
    <t>Fluorescent Highlighters by DrawIt</t>
  </si>
  <si>
    <t>Gabriella Simbolon</t>
  </si>
  <si>
    <t>Artisan 481 Labels</t>
  </si>
  <si>
    <t>Ani Anggraini</t>
  </si>
  <si>
    <t>Emerson C82 Color Inkjet Printer</t>
  </si>
  <si>
    <t>Bagus Pranowo</t>
  </si>
  <si>
    <t>Artisan Durable Binders</t>
  </si>
  <si>
    <t>Warsita Megantara</t>
  </si>
  <si>
    <t>Pizazz Drawing Pencil Set</t>
  </si>
  <si>
    <t>Daru Haryanti</t>
  </si>
  <si>
    <t>Artisan Poly Binder Pockets</t>
  </si>
  <si>
    <t>Citra Saputra</t>
  </si>
  <si>
    <t>Barrel Sharpener</t>
  </si>
  <si>
    <t>Ismail Uwais</t>
  </si>
  <si>
    <t>Wardi Rahayu</t>
  </si>
  <si>
    <t>Binding Machine Supplies</t>
  </si>
  <si>
    <t>Ajiman Mandasari</t>
  </si>
  <si>
    <t>Large Box</t>
  </si>
  <si>
    <t>Limar Usamah</t>
  </si>
  <si>
    <t>Puji Haryanto</t>
  </si>
  <si>
    <t>Binder Posts</t>
  </si>
  <si>
    <t>Tiara Halim</t>
  </si>
  <si>
    <t>Binder Clips by OIC</t>
  </si>
  <si>
    <t>Hana Hastuti</t>
  </si>
  <si>
    <t>Economy Rollaway Files</t>
  </si>
  <si>
    <t>Self-Adhesive Ring Binder Labels</t>
  </si>
  <si>
    <t>Karta Purnawati</t>
  </si>
  <si>
    <t>Siska Utami</t>
  </si>
  <si>
    <t>3Max Polarizing Task Lamp with Clamp Arm, Light Gray</t>
  </si>
  <si>
    <t>Xanana Padmasari</t>
  </si>
  <si>
    <t>Latika Namaga</t>
  </si>
  <si>
    <t>Empluk Marbun</t>
  </si>
  <si>
    <t>Apex Straight Scissors</t>
  </si>
  <si>
    <t>Rangga Hutasoit</t>
  </si>
  <si>
    <t>Nugraha Nurdiyanti</t>
  </si>
  <si>
    <t>Intan Oktaviani</t>
  </si>
  <si>
    <t>Padma Adriansyah</t>
  </si>
  <si>
    <t>Artisan Binder Labels</t>
  </si>
  <si>
    <t>Hendri Fujiati</t>
  </si>
  <si>
    <t>Purwanto Pratama</t>
  </si>
  <si>
    <t>Baktianto Halim</t>
  </si>
  <si>
    <t>Alto Memo Cubes</t>
  </si>
  <si>
    <t>Kalim Simanjuntak</t>
  </si>
  <si>
    <t>Latif Nasyiah</t>
  </si>
  <si>
    <t>Yance Anggraini</t>
  </si>
  <si>
    <t>Anita Siregar</t>
  </si>
  <si>
    <t>Ikin Januar</t>
  </si>
  <si>
    <t>Caraka Nasyiah</t>
  </si>
  <si>
    <t>TechSavi Cordless Navigator Duo</t>
  </si>
  <si>
    <t>Bahuwarna Winarsih</t>
  </si>
  <si>
    <t>Apex Preferred Stainless Steel Scissors</t>
  </si>
  <si>
    <t>Cindy Dongoran</t>
  </si>
  <si>
    <t>Dadi Anggraini</t>
  </si>
  <si>
    <t>Galang Namaga</t>
  </si>
  <si>
    <t>Naradi Handayani</t>
  </si>
  <si>
    <t>Almira Suryono</t>
  </si>
  <si>
    <t>Halim Jailani</t>
  </si>
  <si>
    <t>Multi-Use Personal File Cart and Caster Set, Three Stacking Bins</t>
  </si>
  <si>
    <t>Desktop 3-Pocket Hot File</t>
  </si>
  <si>
    <t>Olga Marpaung</t>
  </si>
  <si>
    <t>Kawaya Puspasari</t>
  </si>
  <si>
    <t>Nadine Waskita</t>
  </si>
  <si>
    <t>Kani Aryani</t>
  </si>
  <si>
    <t>600 Series Flip</t>
  </si>
  <si>
    <t>Putri Maryadi</t>
  </si>
  <si>
    <t>Ganep Uwais</t>
  </si>
  <si>
    <t>Cawisadi Anggriawan</t>
  </si>
  <si>
    <t>Olga Usamah</t>
  </si>
  <si>
    <t>300 Series Non-Flip</t>
  </si>
  <si>
    <t>Warsita Maryadi</t>
  </si>
  <si>
    <t>Anom Januar</t>
  </si>
  <si>
    <t>Diah Sudiati</t>
  </si>
  <si>
    <t>Bajragin Saputra</t>
  </si>
  <si>
    <t>Prakosa Januar</t>
  </si>
  <si>
    <t>Angle-D Binders with Locking Rings, Label Holders</t>
  </si>
  <si>
    <t>Ilsa Hassanah</t>
  </si>
  <si>
    <t>Brown Kraft Recycled Envelopes</t>
  </si>
  <si>
    <t>Eluh Usamah</t>
  </si>
  <si>
    <t>Sakura Sihombing</t>
  </si>
  <si>
    <t>Steady 52201 APSCO Electric Pencil Sharpener</t>
  </si>
  <si>
    <t>Bancar Melani</t>
  </si>
  <si>
    <t>Eja Aryani</t>
  </si>
  <si>
    <t>Luis Siregar</t>
  </si>
  <si>
    <t>Yuliana Rahmawati</t>
  </si>
  <si>
    <t>Artisan 487 Labels</t>
  </si>
  <si>
    <t>Wahyu Mulyani</t>
  </si>
  <si>
    <t>Lumi Crayons</t>
  </si>
  <si>
    <t>Mujur Hariyah</t>
  </si>
  <si>
    <t>Intan Widodo</t>
  </si>
  <si>
    <t>Tomi Putra</t>
  </si>
  <si>
    <t>Artisan Durable Poly Binders</t>
  </si>
  <si>
    <t>Pangeran Rahimah</t>
  </si>
  <si>
    <t>Pizazz Colored Pencils</t>
  </si>
  <si>
    <t>Rachel Agustina</t>
  </si>
  <si>
    <t>Sidiq Sirait</t>
  </si>
  <si>
    <t>Apex Office Executive Series Stainless Steel Trimmers</t>
  </si>
  <si>
    <t>Genta Usada</t>
  </si>
  <si>
    <t>Kairav Winarno</t>
  </si>
  <si>
    <t>Daliman Pranowo</t>
  </si>
  <si>
    <t>Harsaya Rahmawati</t>
  </si>
  <si>
    <t>3Max Polarizing Light Filter Sleeves</t>
  </si>
  <si>
    <t>Raditya Mayasari</t>
  </si>
  <si>
    <t>Tantri Handayani</t>
  </si>
  <si>
    <t>Michelle Oktaviani</t>
  </si>
  <si>
    <t>Luwar Yuniar</t>
  </si>
  <si>
    <t>Ega Zulaika</t>
  </si>
  <si>
    <t>Karya Haryanto</t>
  </si>
  <si>
    <t>Steady Pocket Accent Highlighters</t>
  </si>
  <si>
    <t>Prayogo Rajata</t>
  </si>
  <si>
    <t>Cawuk Fujiati</t>
  </si>
  <si>
    <t>Artisan Binding System Hidden Tab Executive Style Index Sets</t>
  </si>
  <si>
    <t>Cakrawangsa Waluyo</t>
  </si>
  <si>
    <t>Artisan Hi-Liter GlideStik Fluorescent Highlighter, Yellow Ink</t>
  </si>
  <si>
    <t>Rafid Rahayu</t>
  </si>
  <si>
    <t>Uda Megantara</t>
  </si>
  <si>
    <t>Akarsana Purwanti</t>
  </si>
  <si>
    <t>Dina Suryatmi</t>
  </si>
  <si>
    <t>Artisan 478 Labels</t>
  </si>
  <si>
    <t>Tantri Hutapea</t>
  </si>
  <si>
    <t>Capa Hartati</t>
  </si>
  <si>
    <t>Apex Forged Steel Scissors with Black Enamel Handles</t>
  </si>
  <si>
    <t>Najib Pratama</t>
  </si>
  <si>
    <t>Ajiono Setiawan</t>
  </si>
  <si>
    <t>Praba Handayani</t>
  </si>
  <si>
    <t>Smiths Bulldog Clip</t>
  </si>
  <si>
    <t>Imam Pertiwi</t>
  </si>
  <si>
    <t>Tantri Anggraini</t>
  </si>
  <si>
    <t>Daruna Mustofa</t>
  </si>
  <si>
    <t>Argono Farida</t>
  </si>
  <si>
    <t>Salimah Habibi</t>
  </si>
  <si>
    <t>Emerson LQ-870 Dot Matrix Printer</t>
  </si>
  <si>
    <t>Zulfa Puspasari</t>
  </si>
  <si>
    <t>Ina Permata</t>
  </si>
  <si>
    <t>Wardi Yolanda</t>
  </si>
  <si>
    <t>Ega Rajata</t>
  </si>
  <si>
    <t>Rahayu Nurdiyanti</t>
  </si>
  <si>
    <t>Rangga Jailani</t>
  </si>
  <si>
    <t>Wadi Siregar</t>
  </si>
  <si>
    <t>Balapati Agustina</t>
  </si>
  <si>
    <t>Tasdik Nugroho</t>
  </si>
  <si>
    <t>Kiandra Salahudin</t>
  </si>
  <si>
    <t>Usman Prabowo</t>
  </si>
  <si>
    <t>Bahuraksa Saragih</t>
  </si>
  <si>
    <t>Jasmani Napitupulu</t>
  </si>
  <si>
    <t>HFX LaserJet 3310 Copier</t>
  </si>
  <si>
    <t>Unpadded Memo Slips</t>
  </si>
  <si>
    <t>Balangga Rahmawati</t>
  </si>
  <si>
    <t>Kayla Melani</t>
  </si>
  <si>
    <t>Raden Hasanah</t>
  </si>
  <si>
    <t>Ames Color-File Green Diamond Border X-ray Mailers</t>
  </si>
  <si>
    <t>Karsana Halim</t>
  </si>
  <si>
    <t>Artisan Hi-Liter Pen Style Six-Color Fluorescent Set</t>
  </si>
  <si>
    <t>Bakiadi Hassanah</t>
  </si>
  <si>
    <t>Blackstonian Pencils</t>
  </si>
  <si>
    <t>Luhung Sudiati</t>
  </si>
  <si>
    <t>Creator Colored Pencils</t>
  </si>
  <si>
    <t>Wisnu Kuswandari</t>
  </si>
  <si>
    <t>Apex Box Cutter Scissors</t>
  </si>
  <si>
    <t>Kunthara Prasetya</t>
  </si>
  <si>
    <t>Umay Hardiansyah</t>
  </si>
  <si>
    <t>Febi Pangestu</t>
  </si>
  <si>
    <t>Rika Mayasari</t>
  </si>
  <si>
    <t>Ayu Ardianto</t>
  </si>
  <si>
    <t>Rusman Aryani</t>
  </si>
  <si>
    <t>Jasmani Zulkarnain</t>
  </si>
  <si>
    <t>Jinawi Puspita</t>
  </si>
  <si>
    <t>Hilda Yulianti</t>
  </si>
  <si>
    <t>Airmail Envelopes</t>
  </si>
  <si>
    <t>Edi Waskita</t>
  </si>
  <si>
    <t>Iriana Firmansyah</t>
  </si>
  <si>
    <t>Tugiman Santoso</t>
  </si>
  <si>
    <t>Iriana Permadi</t>
  </si>
  <si>
    <t>Smiths Colored Bar Computer Paper</t>
  </si>
  <si>
    <t>Rizki Purnawati</t>
  </si>
  <si>
    <t>Panca Saptono</t>
  </si>
  <si>
    <t>Keisha Prayoga</t>
  </si>
  <si>
    <t>Dwi Yuniar</t>
  </si>
  <si>
    <t>Alto Perma 3000 Stacking Storage Drawers</t>
  </si>
  <si>
    <t>Nurul Samosir</t>
  </si>
  <si>
    <t>OIC Bulk Pack Metal Binder Clips</t>
  </si>
  <si>
    <t>Taswir Budiman</t>
  </si>
  <si>
    <t>Artisan Hi-Liter Comfort Grip Fluorescent Highlighter, Yellow Ink</t>
  </si>
  <si>
    <t>Asirwanda Rahimah</t>
  </si>
  <si>
    <t>Emerson Stylus 1520 Color Inkjet Printer</t>
  </si>
  <si>
    <t>Nilam Prastuti</t>
  </si>
  <si>
    <t>Bagas Putra</t>
  </si>
  <si>
    <t>Oskar Permadi</t>
  </si>
  <si>
    <t>Gamani Maryati</t>
  </si>
  <si>
    <t>Rahmi Prabowo</t>
  </si>
  <si>
    <t>Galiono Wibowo</t>
  </si>
  <si>
    <t>Viktor Sihombing</t>
  </si>
  <si>
    <t>24 Capacity Maxi Data Binder Racks, Pearl</t>
  </si>
  <si>
    <t>Lega Anggriawan</t>
  </si>
  <si>
    <t>Cengkal Lazuardi</t>
  </si>
  <si>
    <t>Raina Laksita</t>
  </si>
  <si>
    <t>Assorted Color Push Pins</t>
  </si>
  <si>
    <t>Jamil Mustofa</t>
  </si>
  <si>
    <t>Nyana Suryatmi</t>
  </si>
  <si>
    <t>Natalia Palastri</t>
  </si>
  <si>
    <t>Alto 3-Hole Punch</t>
  </si>
  <si>
    <t>Dwi Utami</t>
  </si>
  <si>
    <t>Jamal Hidayanto</t>
  </si>
  <si>
    <t>Rahmi Prakasa</t>
  </si>
  <si>
    <t>Eman Widodo</t>
  </si>
  <si>
    <t>Gambira Prasasta</t>
  </si>
  <si>
    <t>Lanang Wijayanti</t>
  </si>
  <si>
    <t>Galuh Zulaika</t>
  </si>
  <si>
    <t>Creator Anti Dust Chalk, 12/Pack</t>
  </si>
  <si>
    <t>Harimurti Wulandari</t>
  </si>
  <si>
    <t>Mila Napitupulu</t>
  </si>
  <si>
    <t>Eka Sitorus</t>
  </si>
  <si>
    <t>Ade Novitasari</t>
  </si>
  <si>
    <t>Wardi Nasyidah</t>
  </si>
  <si>
    <t>Gatot Siregar</t>
  </si>
  <si>
    <t>Dwi Suartini</t>
  </si>
  <si>
    <t>Adams "While You Were Out" Message Pads</t>
  </si>
  <si>
    <t>Cahyono Novitasari</t>
  </si>
  <si>
    <t>Puspa Maryati</t>
  </si>
  <si>
    <t>Cawisadi Wijaya</t>
  </si>
  <si>
    <t>Elma Samosir</t>
  </si>
  <si>
    <t>Maman Wulandari</t>
  </si>
  <si>
    <t>Artisan 474 Labels</t>
  </si>
  <si>
    <t>Prasetya Wahyuni</t>
  </si>
  <si>
    <t>Elma Susanti</t>
  </si>
  <si>
    <t>Smiths Paper Clips</t>
  </si>
  <si>
    <t>Tiara Lazuardi</t>
  </si>
  <si>
    <t>TechSavi Cordless Access Keyboard</t>
  </si>
  <si>
    <t>Upik Siregar</t>
  </si>
  <si>
    <t>Taufik Najmudin</t>
  </si>
  <si>
    <t>Kardi Narpati</t>
  </si>
  <si>
    <t>Artisan File Folder Labels</t>
  </si>
  <si>
    <t>Gabriella Napitupulu</t>
  </si>
  <si>
    <t>Artisan Round Ring Poly Binders</t>
  </si>
  <si>
    <t>Kania Budiyanto</t>
  </si>
  <si>
    <t>Gada Gunawan</t>
  </si>
  <si>
    <t>Siska Maryadi</t>
  </si>
  <si>
    <t>Colored Push Pins</t>
  </si>
  <si>
    <t>Steady Colorific Eraseable Coloring Pencils, 12 Count</t>
  </si>
  <si>
    <t>Mustofa Tarihoran</t>
  </si>
  <si>
    <t>Paris Palastri</t>
  </si>
  <si>
    <t>Bakiono Wahyuni</t>
  </si>
  <si>
    <t>Emas Kurniawan</t>
  </si>
  <si>
    <t>Bakti Simbolon</t>
  </si>
  <si>
    <t>Gatot Wibisono</t>
  </si>
  <si>
    <t>Abyasa Yulianti</t>
  </si>
  <si>
    <t>Jumadi Sitompul</t>
  </si>
  <si>
    <t>Cahyadi Wulandari</t>
  </si>
  <si>
    <t>Garang Kuswoyo</t>
  </si>
  <si>
    <t>Irwan Wahyuni</t>
  </si>
  <si>
    <t>Gantar Kuswoyo</t>
  </si>
  <si>
    <t>Luis Hasanah</t>
  </si>
  <si>
    <t>Talia Maryadi</t>
  </si>
  <si>
    <t>Gambira Kusmawati</t>
  </si>
  <si>
    <t>Bagus Astuti</t>
  </si>
  <si>
    <t>Smiths File Caddy</t>
  </si>
  <si>
    <t>Gada Hardiansyah</t>
  </si>
  <si>
    <t>Salwa Wulandari</t>
  </si>
  <si>
    <t>Aswani Winarno</t>
  </si>
  <si>
    <t>Arsipatra Halimah</t>
  </si>
  <si>
    <t>Diah Prakasa</t>
  </si>
  <si>
    <t>Hasim Salahudin</t>
  </si>
  <si>
    <t>Saka Wijaya</t>
  </si>
  <si>
    <t>Dadap Zulkarnain</t>
  </si>
  <si>
    <t>Luhung Nuraini</t>
  </si>
  <si>
    <t>Dian Haryanti</t>
  </si>
  <si>
    <t>Latika Siregar</t>
  </si>
  <si>
    <t>Jaiman Marbun</t>
  </si>
  <si>
    <t>Cawuk Pradipta</t>
  </si>
  <si>
    <t>Rama Firgantoro</t>
  </si>
  <si>
    <t>Anom Hasanah</t>
  </si>
  <si>
    <t>Leo Pranowo</t>
  </si>
  <si>
    <t>Artisan Reinforcements for Hole-Punch Pages</t>
  </si>
  <si>
    <t>Janet Riyanti</t>
  </si>
  <si>
    <t>Aris Widiastuti</t>
  </si>
  <si>
    <t>Argono Pertiwi</t>
  </si>
  <si>
    <t>Laras Lazuardi</t>
  </si>
  <si>
    <t>Prabawa Maryadi</t>
  </si>
  <si>
    <t>Artisan Hi-Liter EverBold Pen Style Fluorescent Highlighters, 4/Pack</t>
  </si>
  <si>
    <t>Citra Natsir</t>
  </si>
  <si>
    <t>Luluh Pratiwi</t>
  </si>
  <si>
    <t>TechSavi Cordless Keyboard</t>
  </si>
  <si>
    <t>Harjaya Budiyanto</t>
  </si>
  <si>
    <t>Panca Damanik</t>
  </si>
  <si>
    <t>Yoga Lestari</t>
  </si>
  <si>
    <t>Kamidin Saptono</t>
  </si>
  <si>
    <t>Maimunah Safitri</t>
  </si>
  <si>
    <t>Virman Prayoga</t>
  </si>
  <si>
    <t>Gantar Permata</t>
  </si>
  <si>
    <t>Smiths Pushpins</t>
  </si>
  <si>
    <t>Rini Marbun</t>
  </si>
  <si>
    <t>Mumpuni Haryanto</t>
  </si>
  <si>
    <t>Anastasia Rahimah</t>
  </si>
  <si>
    <t>Raina Manullang</t>
  </si>
  <si>
    <t>Yulia Mahendra</t>
  </si>
  <si>
    <t>Darmaji Rajasa</t>
  </si>
  <si>
    <t>Lantar Gunawan</t>
  </si>
  <si>
    <t>Adhiarja Wahyudin</t>
  </si>
  <si>
    <t>Arta Rahmawati</t>
  </si>
  <si>
    <t>Taufan Gunawan</t>
  </si>
  <si>
    <t>Cengkir Pradana</t>
  </si>
  <si>
    <t>Ira Prasetyo</t>
  </si>
  <si>
    <t>Ajimin Andriani</t>
  </si>
  <si>
    <t>Aswani Rajata</t>
  </si>
  <si>
    <t>Oliva Melani</t>
  </si>
  <si>
    <t>Tiara Megantara</t>
  </si>
  <si>
    <t>Daliono Yolanda</t>
  </si>
  <si>
    <t>Prayitna Pangestu</t>
  </si>
  <si>
    <t>Jati Laksmiwati</t>
  </si>
  <si>
    <t>Apex Design Stainless Steel Bent Scissors</t>
  </si>
  <si>
    <t>Julia Situmorang</t>
  </si>
  <si>
    <t>Opung Saptono</t>
  </si>
  <si>
    <t>Col-Erase Pencils with Erasers</t>
  </si>
  <si>
    <t>Caket Rahimah</t>
  </si>
  <si>
    <t>Kania Tampubolon</t>
  </si>
  <si>
    <t>Farhunnisa Yulianti</t>
  </si>
  <si>
    <t>Kajen Zulkarnain</t>
  </si>
  <si>
    <t>Gamani Mulyani</t>
  </si>
  <si>
    <t>Karna Pertiwi</t>
  </si>
  <si>
    <t>Yuni Nugroho</t>
  </si>
  <si>
    <t>Bakidin Firmansyah</t>
  </si>
  <si>
    <t>Rendy Andriani</t>
  </si>
  <si>
    <t>Olga Gunawan</t>
  </si>
  <si>
    <t>Purwa Nasyidah</t>
  </si>
  <si>
    <t>Calista Ardianto</t>
  </si>
  <si>
    <t>Nasim Purwanti</t>
  </si>
  <si>
    <t>Gambira Suryono</t>
  </si>
  <si>
    <t>Cawisono Mardhiyah</t>
  </si>
  <si>
    <t>Jayeng Wastuti</t>
  </si>
  <si>
    <t>Juli Waluyo</t>
  </si>
  <si>
    <t>Lembah Rajasa</t>
  </si>
  <si>
    <t>Nilam Dabukke</t>
  </si>
  <si>
    <t>Mahmud Tarihoran</t>
  </si>
  <si>
    <t>Rahmat Handayani</t>
  </si>
  <si>
    <t>Artisan Hole Reinforcements</t>
  </si>
  <si>
    <t>Najwa Usamah</t>
  </si>
  <si>
    <t>Danuja Prayoga</t>
  </si>
  <si>
    <t>Warsita Nurdiyanti</t>
  </si>
  <si>
    <t>Paiman Uwais</t>
  </si>
  <si>
    <t>Mahdi Rajata</t>
  </si>
  <si>
    <t>Nilam Latupono</t>
  </si>
  <si>
    <t>Yoga Damanik</t>
  </si>
  <si>
    <t>Lukita Lestari</t>
  </si>
  <si>
    <t>Cakrajiya Sihombing</t>
  </si>
  <si>
    <t>Putu Suwarno</t>
  </si>
  <si>
    <t>Hilda Sihotang</t>
  </si>
  <si>
    <t>Kezia Astuti</t>
  </si>
  <si>
    <t>Ilyas Najmudin</t>
  </si>
  <si>
    <t>Najwa Najmudin</t>
  </si>
  <si>
    <t>Danuja Rajasa</t>
  </si>
  <si>
    <t>Hafshah Utami</t>
  </si>
  <si>
    <t>Alto Six-Outlet Power Strip, 4 Cord Length</t>
  </si>
  <si>
    <t>Anggabaya Palastri</t>
  </si>
  <si>
    <t>Marwata Fujiati</t>
  </si>
  <si>
    <t>Jayadi Safitri</t>
  </si>
  <si>
    <t>Ratna Sitorus</t>
  </si>
  <si>
    <t>Galar Nasyidah</t>
  </si>
  <si>
    <t>Lembah Saragih</t>
  </si>
  <si>
    <t>Dacin Setiawan</t>
  </si>
  <si>
    <t>Balijan Setiawan</t>
  </si>
  <si>
    <t>Amelia Kuswoyo</t>
  </si>
  <si>
    <t>Satya Nurdiyanti</t>
  </si>
  <si>
    <t>Bakda Firmansyah</t>
  </si>
  <si>
    <t>Mursita Yuniar</t>
  </si>
  <si>
    <t>Liman Siregar</t>
  </si>
  <si>
    <t>Kairav Mandasari</t>
  </si>
  <si>
    <t>Ozy Pratama</t>
  </si>
  <si>
    <t>Cahyo Widodo</t>
  </si>
  <si>
    <t>Unggul Megantara</t>
  </si>
  <si>
    <t>Lanjar Tampubolon</t>
  </si>
  <si>
    <t>Lintang Prabowo</t>
  </si>
  <si>
    <t>Elvin Yuniar</t>
  </si>
  <si>
    <t>Titi Kuswandari</t>
  </si>
  <si>
    <t>Harsaya Salahudin</t>
  </si>
  <si>
    <t>Agus Winarsih</t>
  </si>
  <si>
    <t>Emil Mayasari</t>
  </si>
  <si>
    <t>Harto Firgantoro</t>
  </si>
  <si>
    <t>Karsana Nugroho</t>
  </si>
  <si>
    <t>Hasna Prakasa</t>
  </si>
  <si>
    <t>Ibun Hutapea</t>
  </si>
  <si>
    <t>Ibrani Anggraini</t>
  </si>
  <si>
    <t>Silvia Siregar</t>
  </si>
  <si>
    <t>Nalar Zulaika</t>
  </si>
  <si>
    <t>Artawan Mahendra</t>
  </si>
  <si>
    <t>Jayadi Prakasa</t>
  </si>
  <si>
    <t>Vega Kurniawan</t>
  </si>
  <si>
    <t>Ajimin Suartini</t>
  </si>
  <si>
    <t>Sari Januar</t>
  </si>
  <si>
    <t>Lala Wacana</t>
  </si>
  <si>
    <t>Jatmiko Megantara</t>
  </si>
  <si>
    <t>Oni Prastuti</t>
  </si>
  <si>
    <t>Laila Usamah</t>
  </si>
  <si>
    <t>Carub Hardiansyah</t>
  </si>
  <si>
    <t>Lanjar Hakim</t>
  </si>
  <si>
    <t>Kawaya Hastuti</t>
  </si>
  <si>
    <t>Arta Lestari</t>
  </si>
  <si>
    <t>Bagus Setiawan</t>
  </si>
  <si>
    <t>Kambali Wahyuni</t>
  </si>
  <si>
    <t>Ida Waluyo</t>
  </si>
  <si>
    <t>Zaenab Aryani</t>
  </si>
  <si>
    <t>Jais Wahyudin</t>
  </si>
  <si>
    <t>Azalea Anggriawan</t>
  </si>
  <si>
    <t>Opung Padmasari</t>
  </si>
  <si>
    <t>Opan Permata</t>
  </si>
  <si>
    <t>Ophelia Natsir</t>
  </si>
  <si>
    <t>Rusman Adriansyah</t>
  </si>
  <si>
    <t>Nardi Simanjuntak</t>
  </si>
  <si>
    <t>Emas Megantara</t>
  </si>
  <si>
    <t>Kamidin Yolanda</t>
  </si>
  <si>
    <t>Mahmud Tampubolon</t>
  </si>
  <si>
    <t>Wirda Novitasari</t>
  </si>
  <si>
    <t>Daruna Irawan</t>
  </si>
  <si>
    <t>Karen Kuswandari</t>
  </si>
  <si>
    <t>Dimas Marbun</t>
  </si>
  <si>
    <t>Rahman Prastuti</t>
  </si>
  <si>
    <t>Endah Budiyanto</t>
  </si>
  <si>
    <t>Icha Mandala</t>
  </si>
  <si>
    <t>Ina Nasyidah</t>
  </si>
  <si>
    <t>Keisha Hutasoit</t>
  </si>
  <si>
    <t>Laras Hartati</t>
  </si>
  <si>
    <t>Dadi Laksita</t>
  </si>
  <si>
    <t>Jindra Safitri</t>
  </si>
  <si>
    <t>Ayu Wastuti</t>
  </si>
  <si>
    <t>Ibrani Yuniar</t>
  </si>
  <si>
    <t>Smiths Bulk Pack Metal Binder Clips</t>
  </si>
  <si>
    <t>Betania Thamrin</t>
  </si>
  <si>
    <t>Karna Sinaga</t>
  </si>
  <si>
    <t>Kemba Sihotang</t>
  </si>
  <si>
    <t>Novi Hardiansyah</t>
  </si>
  <si>
    <t>Alliance Rubber Bands</t>
  </si>
  <si>
    <t>Tedi Hartati</t>
  </si>
  <si>
    <t>Eja Mulyani</t>
  </si>
  <si>
    <t>Lasmanto Yuliarti</t>
  </si>
  <si>
    <t>Putu Hardiansyah</t>
  </si>
  <si>
    <t>Hilda Halim</t>
  </si>
  <si>
    <t>Keisha Budiyanto</t>
  </si>
  <si>
    <t>Harja Safitri</t>
  </si>
  <si>
    <t>Melinda Hutapea</t>
  </si>
  <si>
    <t>Harjasa Irawan</t>
  </si>
  <si>
    <t>Bambang Rajata</t>
  </si>
  <si>
    <t>Tri Siregar</t>
  </si>
  <si>
    <t>Agnes Yulianti</t>
  </si>
  <si>
    <t>Imam Iswahyudi</t>
  </si>
  <si>
    <t>Jane Gunawan</t>
  </si>
  <si>
    <t>Kawaca Andriani</t>
  </si>
  <si>
    <t>Akarsana Winarno</t>
  </si>
  <si>
    <t>Dadap Riyanti</t>
  </si>
  <si>
    <t>Vicky Mardhiyah</t>
  </si>
  <si>
    <t>Abyasa Salahudin</t>
  </si>
  <si>
    <t>Bakidin Nugroho</t>
  </si>
  <si>
    <t>Prima Andriani</t>
  </si>
  <si>
    <t>Purwanto Irawan</t>
  </si>
  <si>
    <t>Opan Prasetyo</t>
  </si>
  <si>
    <t>Lukman Nurdiyanti</t>
  </si>
  <si>
    <t>Pangestu Sihombing</t>
  </si>
  <si>
    <t>Raharja Saputra</t>
  </si>
  <si>
    <t>Genta Iswahyudi</t>
  </si>
  <si>
    <t>Siti Maulana</t>
  </si>
  <si>
    <t>Mahfud Laksita</t>
  </si>
  <si>
    <t>Hasna Prasetya</t>
  </si>
  <si>
    <t>Empluk Uyainah</t>
  </si>
  <si>
    <t>Queen Fujiati</t>
  </si>
  <si>
    <t>Gandewa Sitorus</t>
  </si>
  <si>
    <t>Mila Sihotang</t>
  </si>
  <si>
    <t>Wisnu Rahmawati</t>
  </si>
  <si>
    <t>Margana Handayani</t>
  </si>
  <si>
    <t>Lega Thamrin</t>
  </si>
  <si>
    <t>Nabila Padmasari</t>
  </si>
  <si>
    <t>Kasiyah Puspasari</t>
  </si>
  <si>
    <t>Cinta Rahmawati</t>
  </si>
  <si>
    <t>Leo Sudiati</t>
  </si>
  <si>
    <t>Prima Prasetyo</t>
  </si>
  <si>
    <t>Rahman Yuliarti</t>
  </si>
  <si>
    <t>Dina Sitorus</t>
  </si>
  <si>
    <t>Radika Suartini</t>
  </si>
  <si>
    <t>Enteng Widodo</t>
  </si>
  <si>
    <t>Laila Tarihoran</t>
  </si>
  <si>
    <t>Timbul Marpaung</t>
  </si>
  <si>
    <t>Niyaga Laksita</t>
  </si>
  <si>
    <t>Vinsen Widodo</t>
  </si>
  <si>
    <t>Puji Waskita</t>
  </si>
  <si>
    <t>Wawan Haryanti</t>
  </si>
  <si>
    <t>Umi Marbun</t>
  </si>
  <si>
    <t>HFX 610 Color Digital Copier / Printer</t>
  </si>
  <si>
    <t>Galih Halim</t>
  </si>
  <si>
    <t>Vero Kusumo</t>
  </si>
  <si>
    <t>Kuncara Melani</t>
  </si>
  <si>
    <t>Siti Anggraini</t>
  </si>
  <si>
    <t>Widya Setiawan</t>
  </si>
  <si>
    <t>Daliman Sitorus</t>
  </si>
  <si>
    <t>Bancar Mulyani</t>
  </si>
  <si>
    <t>Among Firmansyah</t>
  </si>
  <si>
    <t>Galih Mustofa</t>
  </si>
  <si>
    <t>Aditya Uyainah</t>
  </si>
  <si>
    <t>Laila Anggraini</t>
  </si>
  <si>
    <t>Wulan Hariyah</t>
  </si>
  <si>
    <t>Rizki Firgantoro</t>
  </si>
  <si>
    <t>Rendy Firmansyah</t>
  </si>
  <si>
    <t>Gaduh Marbun</t>
  </si>
  <si>
    <t>Pangestu Rajata</t>
  </si>
  <si>
    <t>Tri Rahmawati</t>
  </si>
  <si>
    <t>Farah Maheswara</t>
  </si>
  <si>
    <t>Rangga Budiman</t>
  </si>
  <si>
    <t>Kania Kuswandari</t>
  </si>
  <si>
    <t>Hartana Nurdiyanti</t>
  </si>
  <si>
    <t>Anita Halim</t>
  </si>
  <si>
    <t>Olga Irawan</t>
  </si>
  <si>
    <t>Ulya Agustina</t>
  </si>
  <si>
    <t>Hardi Prayoga</t>
  </si>
  <si>
    <t>Zelaya Maryati</t>
  </si>
  <si>
    <t>Instruction</t>
  </si>
  <si>
    <t>No</t>
  </si>
  <si>
    <t>Rapihkan kolom dan baris</t>
  </si>
  <si>
    <t>Order ID</t>
  </si>
  <si>
    <t>JKT</t>
  </si>
  <si>
    <t>SBY</t>
  </si>
  <si>
    <t>BDG</t>
  </si>
  <si>
    <t>JKT-WR-1028-2016</t>
  </si>
  <si>
    <t>JKT-AN-1029-2016</t>
  </si>
  <si>
    <t>SBY-RS-1030-2016</t>
  </si>
  <si>
    <t>JKT-PM-1028-2016</t>
  </si>
  <si>
    <t>SBY-PH-1031-2016</t>
  </si>
  <si>
    <t>JKT-NS-1028-2016</t>
  </si>
  <si>
    <t>SBY-EH-1032-2016</t>
  </si>
  <si>
    <t>SBY-EW-1032-2016</t>
  </si>
  <si>
    <t>SBY-UZ-1030-2016</t>
  </si>
  <si>
    <t>SBY-GR-1033-2016</t>
  </si>
  <si>
    <t>JKT-OK-1029-2016</t>
  </si>
  <si>
    <t>SBY-RJ-1034-2016</t>
  </si>
  <si>
    <t>SBY-AH-1032-2016</t>
  </si>
  <si>
    <t>JKT-RA-1028-2016</t>
  </si>
  <si>
    <t>SBY-BM-1035-2016</t>
  </si>
  <si>
    <t>JKT-GH-1029-2016</t>
  </si>
  <si>
    <t>SBY-BP-1033-2016</t>
  </si>
  <si>
    <t>SBY-LP-1036-2016</t>
  </si>
  <si>
    <t>SBY-LY-1031-2016</t>
  </si>
  <si>
    <t>SBY-DP-1037-2016</t>
  </si>
  <si>
    <t>SBY-AU-1034-2016</t>
  </si>
  <si>
    <t>SBY-CR-1036-2016</t>
  </si>
  <si>
    <t>SBY-AA-1031-2016</t>
  </si>
  <si>
    <t>JKT-KN-1029-2016</t>
  </si>
  <si>
    <t>JKT-CM-1029-2016</t>
  </si>
  <si>
    <t>SBY-PB-1032-2016</t>
  </si>
  <si>
    <t>JKT-PN-1029-2016</t>
  </si>
  <si>
    <t>SBY-AM-1038-2016</t>
  </si>
  <si>
    <t>JKT-BA-1028-2016</t>
  </si>
  <si>
    <t>SBY-TY-1030-2016</t>
  </si>
  <si>
    <t>SBY-KS-1039-2016</t>
  </si>
  <si>
    <t>JKT-NW-1028-2016</t>
  </si>
  <si>
    <t>JKT-AM-1028-2016</t>
  </si>
  <si>
    <t>SBY-PM-1037-2016</t>
  </si>
  <si>
    <t>SBY-GW-1038-2016</t>
  </si>
  <si>
    <t>SBY-EA-1034-2016</t>
  </si>
  <si>
    <t>JKT-RU-1028-2016</t>
  </si>
  <si>
    <t>SBY-WA-1036-2016</t>
  </si>
  <si>
    <t>SBY-CH-1037-2016</t>
  </si>
  <si>
    <t>JKT-IJ-1029-2016</t>
  </si>
  <si>
    <t>SBY-RU-1037-2016</t>
  </si>
  <si>
    <t>JKT-UY-1029-2016</t>
  </si>
  <si>
    <t>SBY-YP-1033-2016</t>
  </si>
  <si>
    <t>SBY-KF-1036-2016</t>
  </si>
  <si>
    <t>SBY-GA-1036-2016</t>
  </si>
  <si>
    <t>SBY-AD-1031-2016</t>
  </si>
  <si>
    <t>SBY-SH-1034-2016</t>
  </si>
  <si>
    <t>JKT-DU-1028-2016</t>
  </si>
  <si>
    <t>BDG-CP-1036-2016</t>
  </si>
  <si>
    <t>SBY-CP-1036-2016</t>
  </si>
  <si>
    <t>SBY-JM-1037-2016</t>
  </si>
  <si>
    <t>SBY-GH-1036-2016</t>
  </si>
  <si>
    <t>SBY-CA-1037-2016</t>
  </si>
  <si>
    <t>BDG-ES-1039-2016</t>
  </si>
  <si>
    <t>BDG-LL-1039-2016</t>
  </si>
  <si>
    <t>JKT-GL-1028-2016</t>
  </si>
  <si>
    <t>SBY-GP-1031-2016</t>
  </si>
  <si>
    <t>SBY-CY-1036-2016</t>
  </si>
  <si>
    <t>SBY-CD-1031-2016</t>
  </si>
  <si>
    <t>SBY-JM-1040-2016</t>
  </si>
  <si>
    <t>SBY-YW-1034-2016</t>
  </si>
  <si>
    <t>SBY-SP-1036-2016</t>
  </si>
  <si>
    <t>SBY-CP-1031-2016</t>
  </si>
  <si>
    <t>SBY-AS-1041-2016</t>
  </si>
  <si>
    <t>SBY-IH-1039-2016</t>
  </si>
  <si>
    <t>SBY-CF-1039-2016</t>
  </si>
  <si>
    <t>JKT-HP-1029-2016</t>
  </si>
  <si>
    <t>SBY-EA-1030-2016</t>
  </si>
  <si>
    <t>JKT-HM-1029-2016</t>
  </si>
  <si>
    <t>JKT-WM-1029-2016</t>
  </si>
  <si>
    <t>SBY-WS-1036-2016</t>
  </si>
  <si>
    <t>SBY-DM-1030-2016</t>
  </si>
  <si>
    <t>BDG-LP-1036-2016</t>
  </si>
  <si>
    <t>BDG-RP-1033-2016</t>
  </si>
  <si>
    <t>JKT-GS-1028-2016</t>
  </si>
  <si>
    <t>SBY-KS-1030-2016</t>
  </si>
  <si>
    <t>SBY-JS-1039-2016</t>
  </si>
  <si>
    <t>SBY-RP-1032-2016</t>
  </si>
  <si>
    <t>JKT-EW-1029-2016</t>
  </si>
  <si>
    <t>SBY-PW-1036-2016</t>
  </si>
  <si>
    <t>JKT-IW-1029-2016</t>
  </si>
  <si>
    <t>JKT-KK-1029-2016</t>
  </si>
  <si>
    <t>SBY-ZS-1031-2016</t>
  </si>
  <si>
    <t>SBY-SH-1039-2016</t>
  </si>
  <si>
    <t>SBY-MP-1034-2016</t>
  </si>
  <si>
    <t>JKT-KH-1028-2016</t>
  </si>
  <si>
    <t>JKT-WS-1028-2016</t>
  </si>
  <si>
    <t>SBY-SM-1035-2016</t>
  </si>
  <si>
    <t>SBY-RS-1031-2016</t>
  </si>
  <si>
    <t>SBY-HS-1036-2016</t>
  </si>
  <si>
    <t>JKT-TW-1029-2016</t>
  </si>
  <si>
    <t>BDG-OS-1032-2016</t>
  </si>
  <si>
    <t>JKT-MS-1028-2016</t>
  </si>
  <si>
    <t>JKT-GS-1029-2016</t>
  </si>
  <si>
    <t>SBY-BP-1041-2016</t>
  </si>
  <si>
    <t>SBY-WM-1037-2016</t>
  </si>
  <si>
    <t>JKT-DH-1028-2016</t>
  </si>
  <si>
    <t>JKT-CS-1028-2016</t>
  </si>
  <si>
    <t>SBY-IU-1036-2016</t>
  </si>
  <si>
    <t>SBY-LU-1033-2016</t>
  </si>
  <si>
    <t>SBY-WR-1037-2016</t>
  </si>
  <si>
    <t>JKT-PH-1029-2016</t>
  </si>
  <si>
    <t>JKT-TH-1028-2016</t>
  </si>
  <si>
    <t>SBY-HH-1033-2016</t>
  </si>
  <si>
    <t>BDG-KP-1036-2016</t>
  </si>
  <si>
    <t>SBY-XP-1036-2016</t>
  </si>
  <si>
    <t>SBY-SU-1037-2016</t>
  </si>
  <si>
    <t>SBY-LN-1038-2016</t>
  </si>
  <si>
    <t>SBY-EM-1033-2016</t>
  </si>
  <si>
    <t>SBY-NN-1033-2016</t>
  </si>
  <si>
    <t>SBY-RH-1034-2016</t>
  </si>
  <si>
    <t>SBY-IO-1037-2016</t>
  </si>
  <si>
    <t>SBY-PA-1037-2016</t>
  </si>
  <si>
    <t>BDG-HF-1041-2016</t>
  </si>
  <si>
    <t>SBY-PP-1032-2016</t>
  </si>
  <si>
    <t>JKT-BH-1028-2016</t>
  </si>
  <si>
    <t>SBY-KS-1031-2016</t>
  </si>
  <si>
    <t>SBY-LN-1032-2016</t>
  </si>
  <si>
    <t>SBY-YA-1033-2016</t>
  </si>
  <si>
    <t>SBY-AS-1031-2016</t>
  </si>
  <si>
    <t>SBY-CN-1032-2016</t>
  </si>
  <si>
    <t>SBY-IJ-1037-2016</t>
  </si>
  <si>
    <t>BDG-BW-1041-2016</t>
  </si>
  <si>
    <t>SBY-CD-1036-2016</t>
  </si>
  <si>
    <t>SBY-DA-1030-2016</t>
  </si>
  <si>
    <t>SBY-GN-1040-2017</t>
  </si>
  <si>
    <t>SBY-NH-1036-2017</t>
  </si>
  <si>
    <t>SBY-AS-1035-2017</t>
  </si>
  <si>
    <t>JKT-HJ-1029-2017</t>
  </si>
  <si>
    <t>BDG-LP-1036-2017</t>
  </si>
  <si>
    <t>SBY-BP-1033-2017</t>
  </si>
  <si>
    <t>SBY-OM-1033-2017</t>
  </si>
  <si>
    <t>JKT-KP-1029-2017</t>
  </si>
  <si>
    <t>BDG-OS-1032-2017</t>
  </si>
  <si>
    <t>SBY-NW-1038-2017</t>
  </si>
  <si>
    <t>SBY-KA-1033-2017</t>
  </si>
  <si>
    <t>SBY-SP-1036-2017</t>
  </si>
  <si>
    <t>SBY-SH-1034-2017</t>
  </si>
  <si>
    <t>SBY-PM-1041-2017</t>
  </si>
  <si>
    <t>JKT-GU-1028-2017</t>
  </si>
  <si>
    <t>SBY-CA-1037-2017</t>
  </si>
  <si>
    <t>BDG-OU-1036-2017</t>
  </si>
  <si>
    <t>JKT-WM-1028-2017</t>
  </si>
  <si>
    <t>SBY-AJ-1030-2017</t>
  </si>
  <si>
    <t>SBY-DS-1032-2017</t>
  </si>
  <si>
    <t>SBY-BS-1032-2017</t>
  </si>
  <si>
    <t>SBY-PJ-1039-2017</t>
  </si>
  <si>
    <t>SBY-IH-1030-2017</t>
  </si>
  <si>
    <t>SBY-EU-1039-2017</t>
  </si>
  <si>
    <t>JKT-SS-1029-2017</t>
  </si>
  <si>
    <t>JKT-OK-1029-2017</t>
  </si>
  <si>
    <t>SBY-BM-1034-2017</t>
  </si>
  <si>
    <t>SBY-EA-1039-2017</t>
  </si>
  <si>
    <t>JKT-GS-1028-2017</t>
  </si>
  <si>
    <t>SBY-LS-1038-2017</t>
  </si>
  <si>
    <t>SBY-WM-1032-2017</t>
  </si>
  <si>
    <t>BDG-YR-1033-2017</t>
  </si>
  <si>
    <t>SBY-MH-1033-2017</t>
  </si>
  <si>
    <t>JKT-IW-1029-2017</t>
  </si>
  <si>
    <t>JKT-TP-1028-2017</t>
  </si>
  <si>
    <t>SBY-LN-1032-2017</t>
  </si>
  <si>
    <t>SBY-TY-1030-2017</t>
  </si>
  <si>
    <t>SBY-PR-1040-2017</t>
  </si>
  <si>
    <t>JKT-GU-1029-2017</t>
  </si>
  <si>
    <t>SBY-RA-1030-2017</t>
  </si>
  <si>
    <t>SBY-KW-1031-2017</t>
  </si>
  <si>
    <t>BDG-DP-1039-2017</t>
  </si>
  <si>
    <t>SBY-WM-1037-2017</t>
  </si>
  <si>
    <t>SBY-HR-1032-2017</t>
  </si>
  <si>
    <t>SBY-RM-1032-2017</t>
  </si>
  <si>
    <t>JKT-TH-1028-2017</t>
  </si>
  <si>
    <t>SBY-MO-1030-2017</t>
  </si>
  <si>
    <t>JKT-LY-1029-2017</t>
  </si>
  <si>
    <t>SBY-KH-1036-2017</t>
  </si>
  <si>
    <t>SBY-EZ-1038-2017</t>
  </si>
  <si>
    <t>JKT-WR-1028-2017</t>
  </si>
  <si>
    <t>SBY-PR-1036-2017</t>
  </si>
  <si>
    <t>SBY-CW-1030-2017</t>
  </si>
  <si>
    <t>SBY-CF-1033-2017</t>
  </si>
  <si>
    <t>JKT-RR-1028-2017</t>
  </si>
  <si>
    <t>SBY-UM-1039-2017</t>
  </si>
  <si>
    <t>JKT-GL-1028-2017</t>
  </si>
  <si>
    <t>JKT-DS-1029-2017</t>
  </si>
  <si>
    <t>SBY-AP-1037-2017</t>
  </si>
  <si>
    <t>SBY-TH-1034-2017</t>
  </si>
  <si>
    <t>SBY-NN-1033-2017</t>
  </si>
  <si>
    <t>SBY-SH-1039-2017</t>
  </si>
  <si>
    <t>SBY-CH-1033-2017</t>
  </si>
  <si>
    <t>SBY-NP-1040-2017</t>
  </si>
  <si>
    <t>SBY-AS-1036-2017</t>
  </si>
  <si>
    <t>SBY-PH-1040-2017</t>
  </si>
  <si>
    <t>JKT-RA-1028-2017</t>
  </si>
  <si>
    <t>SBY-IP-1039-2017</t>
  </si>
  <si>
    <t>JKT-GS-1029-2017</t>
  </si>
  <si>
    <t>SBY-TA-1037-2017</t>
  </si>
  <si>
    <t>JKT-DM-1029-2017</t>
  </si>
  <si>
    <t>SBY-AF-1030-2017</t>
  </si>
  <si>
    <t>SBY-DA-1030-2017</t>
  </si>
  <si>
    <t>SBY-SH-1031-2017</t>
  </si>
  <si>
    <t>BDG-ZP-1036-2017</t>
  </si>
  <si>
    <t>SBY-IP-1038-2017</t>
  </si>
  <si>
    <t>SBY-WY-1036-2017</t>
  </si>
  <si>
    <t>SBY-ER-1036-2017</t>
  </si>
  <si>
    <t>JKT-RN-1029-2017</t>
  </si>
  <si>
    <t>SBY-RJ-1036-2017</t>
  </si>
  <si>
    <t>JKT-WS-1029-2017</t>
  </si>
  <si>
    <t>SBY-BA-1033-2017</t>
  </si>
  <si>
    <t>SBY-TN-1032-2017</t>
  </si>
  <si>
    <t>SBY-KS-1037-2017</t>
  </si>
  <si>
    <t>JKT-UP-1029-2017</t>
  </si>
  <si>
    <t>SBY-BS-1031-2017</t>
  </si>
  <si>
    <t>JKT-JN-1028-2017</t>
  </si>
  <si>
    <t>SBY-BR-1036-2017</t>
  </si>
  <si>
    <t>JKT-KM-1029-2017</t>
  </si>
  <si>
    <t>SBY-RH-1038-2017</t>
  </si>
  <si>
    <t>SBY-KH-1033-2017</t>
  </si>
  <si>
    <t>SBY-EA-1030-2017</t>
  </si>
  <si>
    <t>JKT-BH-1029-2017</t>
  </si>
  <si>
    <t>SBY-LS-1036-2017</t>
  </si>
  <si>
    <t>JKT-WK-1028-2017</t>
  </si>
  <si>
    <t>JKT-KP-1028-2017</t>
  </si>
  <si>
    <t>SBY-YA-1033-2017</t>
  </si>
  <si>
    <t>JKT-UH-1028-2017</t>
  </si>
  <si>
    <t>SBY-FP-1033-2017</t>
  </si>
  <si>
    <t>SBY-RM-1034-2017</t>
  </si>
  <si>
    <t>JKT-AA-1029-2017</t>
  </si>
  <si>
    <t>SBY-RA-1036-2017</t>
  </si>
  <si>
    <t>SBY-JZ-1032-2017</t>
  </si>
  <si>
    <t>JKT-JP-1029-2017</t>
  </si>
  <si>
    <t>SBY-HY-1032-2017</t>
  </si>
  <si>
    <t>SBY-GP-1031-2017</t>
  </si>
  <si>
    <t>BDG-EW-1033-2017</t>
  </si>
  <si>
    <t>SBY-UZ-1030-2017</t>
  </si>
  <si>
    <t>JKT-IP-1028-2017</t>
  </si>
  <si>
    <t>SBY-TS-1030-2017</t>
  </si>
  <si>
    <t>SBY-IF-1039-2017</t>
  </si>
  <si>
    <t>JKT-RP-1029-2017</t>
  </si>
  <si>
    <t>SBY-PS-1038-2017</t>
  </si>
  <si>
    <t>SBY-KP-1038-2017</t>
  </si>
  <si>
    <t>SBY-DY-1031-2017</t>
  </si>
  <si>
    <t>JKT-PN-1029-2017</t>
  </si>
  <si>
    <t>SBY-NS-1040-2017</t>
  </si>
  <si>
    <t>SBY-BP-1041-2017</t>
  </si>
  <si>
    <t>JKT-MS-1028-2017</t>
  </si>
  <si>
    <t>SBY-TB-1040-2017</t>
  </si>
  <si>
    <t>JKT-AR-1029-2017</t>
  </si>
  <si>
    <t>SBY-NP-1036-2017</t>
  </si>
  <si>
    <t>SBY-BP-1036-2017</t>
  </si>
  <si>
    <t>SBY-OP-1032-2017</t>
  </si>
  <si>
    <t>JKT-GM-1028-2017</t>
  </si>
  <si>
    <t>JKT-RP-1028-2017</t>
  </si>
  <si>
    <t>SBY-GW-1035-2017</t>
  </si>
  <si>
    <t>SBY-CL-1036-2017</t>
  </si>
  <si>
    <t>SBY-VS-1038-2017</t>
  </si>
  <si>
    <t>SBY-LA-1039-2017</t>
  </si>
  <si>
    <t>SBY-RL-1036-2017</t>
  </si>
  <si>
    <t>BDG-JM-1033-2017</t>
  </si>
  <si>
    <t>SBY-NS-1037-2017</t>
  </si>
  <si>
    <t>JKT-NP-1028-2017</t>
  </si>
  <si>
    <t>SBY-SU-1037-2017</t>
  </si>
  <si>
    <t>SBY-YW-1034-2017</t>
  </si>
  <si>
    <t>JKT-DU-1029-2017</t>
  </si>
  <si>
    <t>SBY-JH-1034-2017</t>
  </si>
  <si>
    <t>SBY-RP-1041-2017</t>
  </si>
  <si>
    <t>JKT-LW-1028-2017</t>
  </si>
  <si>
    <t>SBY-GP-1033-2017</t>
  </si>
  <si>
    <t>SBY-EW-1036-2017</t>
  </si>
  <si>
    <t>JKT-GZ-1029-2017</t>
  </si>
  <si>
    <t>BDG-HW-1036-2017</t>
  </si>
  <si>
    <t>SBY-MN-1037-2017</t>
  </si>
  <si>
    <t>SBY-ES-1032-2017</t>
  </si>
  <si>
    <t>SBY-AN-1038-2017</t>
  </si>
  <si>
    <t>JKT-WN-1029-2017</t>
  </si>
  <si>
    <t>BDG-LL-1039-2017</t>
  </si>
  <si>
    <t>SBY-GS-1034-2017</t>
  </si>
  <si>
    <t>SBY-AU-1034-2017</t>
  </si>
  <si>
    <t>BDG-DS-1032-2017</t>
  </si>
  <si>
    <t>JKT-CN-1029-2017</t>
  </si>
  <si>
    <t>SBY-RH-1034-2017</t>
  </si>
  <si>
    <t>SBY-PM-1039-2017</t>
  </si>
  <si>
    <t>JKT-ES-1029-2017</t>
  </si>
  <si>
    <t>SBY-CW-1038-2017</t>
  </si>
  <si>
    <t>SBY-MW-1032-2017</t>
  </si>
  <si>
    <t>SBY-IH-1039-2017</t>
  </si>
  <si>
    <t>JKT-PW-1029-2017</t>
  </si>
  <si>
    <t>JKT-NW-1028-2017</t>
  </si>
  <si>
    <t>SBY-TL-1032-2017</t>
  </si>
  <si>
    <t>SBY-ES-1034-2017</t>
  </si>
  <si>
    <t>SBY-US-1038-2017</t>
  </si>
  <si>
    <t>JKT-TN-1029-2017</t>
  </si>
  <si>
    <t>SBY-KN-1031-2017</t>
  </si>
  <si>
    <t>SBY-GN-1039-2017</t>
  </si>
  <si>
    <t>JKT-KB-1029-2017</t>
  </si>
  <si>
    <t>SBY-GG-1030-2017</t>
  </si>
  <si>
    <t>BDG-SM-1032-2017</t>
  </si>
  <si>
    <t>SBY-MT-1030-2017</t>
  </si>
  <si>
    <t>SBY-PP-1040-2017</t>
  </si>
  <si>
    <t>JKT-BW-1028-2017</t>
  </si>
  <si>
    <t>SBY-EK-1033-2017</t>
  </si>
  <si>
    <t>SBY-BS-1039-2017</t>
  </si>
  <si>
    <t>JKT-GW-1028-2017</t>
  </si>
  <si>
    <t>JKT-JS-1029-2017</t>
  </si>
  <si>
    <t>SBY-AY-1032-2017</t>
  </si>
  <si>
    <t>SBY-CW-1040-2017</t>
  </si>
  <si>
    <t>JKT-GK-1028-2017</t>
  </si>
  <si>
    <t>SBY-IW-1041-2017</t>
  </si>
  <si>
    <t>SBY-GK-1036-2017</t>
  </si>
  <si>
    <t>JKT-TM-1029-2017</t>
  </si>
  <si>
    <t>SBY-LH-1037-2017</t>
  </si>
  <si>
    <t>SBY-GA-1036-2017</t>
  </si>
  <si>
    <t>SBY-BA-1032-2017</t>
  </si>
  <si>
    <t>SBY-GH-1036-2017</t>
  </si>
  <si>
    <t>BDG-KP-1036-2017</t>
  </si>
  <si>
    <t>JKT-SW-1029-2017</t>
  </si>
  <si>
    <t>JKT-AW-1028-2017</t>
  </si>
  <si>
    <t>SBY-CF-1039-2017</t>
  </si>
  <si>
    <t>BDG-DP-1033-2017</t>
  </si>
  <si>
    <t>SBY-AH-1037-2017</t>
  </si>
  <si>
    <t>SBY-LU-1033-2017</t>
  </si>
  <si>
    <t>BDG-ES-1039-2017</t>
  </si>
  <si>
    <t>SBY-SW-1030-2017</t>
  </si>
  <si>
    <t>SBY-HS-1032-2017</t>
  </si>
  <si>
    <t>SBY-LP-1036-2017</t>
  </si>
  <si>
    <t>SBY-DZ-1031-2017</t>
  </si>
  <si>
    <t>JKT-LN-1029-2018</t>
  </si>
  <si>
    <t>JKT-DH-1029-2018</t>
  </si>
  <si>
    <t>BDG-LS-1036-2018</t>
  </si>
  <si>
    <t>SBY-JM-1034-2018</t>
  </si>
  <si>
    <t>SBY-CP-1036-2018</t>
  </si>
  <si>
    <t>BDG-HW-1036-2018</t>
  </si>
  <si>
    <t>JKT-WR-1028-2018</t>
  </si>
  <si>
    <t>SBY-RF-1032-2018</t>
  </si>
  <si>
    <t>BDG-JM-1033-2018</t>
  </si>
  <si>
    <t>SBY-AH-1034-2018</t>
  </si>
  <si>
    <t>SBY-LN-1032-2018</t>
  </si>
  <si>
    <t>BDG-ZP-1036-2018</t>
  </si>
  <si>
    <t>JKT-KP-1028-2018</t>
  </si>
  <si>
    <t>SBY-WA-1036-2018</t>
  </si>
  <si>
    <t>SBY-LP-1031-2018</t>
  </si>
  <si>
    <t>SBY-NP-1036-2018</t>
  </si>
  <si>
    <t>SBY-JR-1032-2018</t>
  </si>
  <si>
    <t>SBY-AW-1034-2018</t>
  </si>
  <si>
    <t>JKT-AP-1029-2018</t>
  </si>
  <si>
    <t>JKT-LL-1028-2018</t>
  </si>
  <si>
    <t>JKT-BW-1028-2018</t>
  </si>
  <si>
    <t>SBY-PM-1034-2018</t>
  </si>
  <si>
    <t>JKT-GM-1028-2018</t>
  </si>
  <si>
    <t>SBY-CN-1032-2018</t>
  </si>
  <si>
    <t>SBY-LP-1036-2018</t>
  </si>
  <si>
    <t>JKT-TN-1029-2018</t>
  </si>
  <si>
    <t>BDG-ES-1039-2018</t>
  </si>
  <si>
    <t>SBY-HB-1034-2018</t>
  </si>
  <si>
    <t>SBY-PD-1032-2018</t>
  </si>
  <si>
    <t>SBY-YL-1031-2018</t>
  </si>
  <si>
    <t>JKT-KS-1029-2018</t>
  </si>
  <si>
    <t>SBY-MS-1040-2018</t>
  </si>
  <si>
    <t>SBY-VP-1030-2018</t>
  </si>
  <si>
    <t>JKT-GP-1028-2018</t>
  </si>
  <si>
    <t>BDG-SM-1032-2018</t>
  </si>
  <si>
    <t>SBY-RM-1041-2018</t>
  </si>
  <si>
    <t>SBY-GR-1033-2018</t>
  </si>
  <si>
    <t>SBY-IU-1036-2018</t>
  </si>
  <si>
    <t>SBY-MH-1030-2018</t>
  </si>
  <si>
    <t>SBY-CF-1033-2018</t>
  </si>
  <si>
    <t>JKT-WM-1029-2018</t>
  </si>
  <si>
    <t>SBY-AR-1038-2018</t>
  </si>
  <si>
    <t>SBY-RM-1036-2018</t>
  </si>
  <si>
    <t>SBY-YM-1034-2018</t>
  </si>
  <si>
    <t>JKT-MS-1028-2018</t>
  </si>
  <si>
    <t>JKT-DR-1028-2018</t>
  </si>
  <si>
    <t>SBY-AS-1041-2018</t>
  </si>
  <si>
    <t>SBY-LG-1036-2018</t>
  </si>
  <si>
    <t>SBY-AW-1038-2018</t>
  </si>
  <si>
    <t>SBY-AR-1032-2018</t>
  </si>
  <si>
    <t>SBY-DZ-1031-2018</t>
  </si>
  <si>
    <t>SBY-TG-1033-2018</t>
  </si>
  <si>
    <t>JKT-AR-1029-2018</t>
  </si>
  <si>
    <t>SBY-IP-1036-2018</t>
  </si>
  <si>
    <t>SBY-VS-1038-2018</t>
  </si>
  <si>
    <t>JKT-GZ-1029-2018</t>
  </si>
  <si>
    <t>SBY-AA-1037-2018</t>
  </si>
  <si>
    <t>SBY-OM-1040-2018</t>
  </si>
  <si>
    <t>SBY-TM-1032-2018</t>
  </si>
  <si>
    <t>SBY-DY-1036-2018</t>
  </si>
  <si>
    <t>SBY-PP-1040-2018</t>
  </si>
  <si>
    <t>JKT-JL-1029-2018</t>
  </si>
  <si>
    <t>SBY-JS-1036-2018</t>
  </si>
  <si>
    <t>SBY-OS-1038-2018</t>
  </si>
  <si>
    <t>SBY-IJ-1037-2018</t>
  </si>
  <si>
    <t>JKT-CR-1028-2018</t>
  </si>
  <si>
    <t>JKT-GL-1028-2018</t>
  </si>
  <si>
    <t>JKT-KT-1029-2018</t>
  </si>
  <si>
    <t>JKT-FY-1028-2018</t>
  </si>
  <si>
    <t>SBY-IF-1039-2018</t>
  </si>
  <si>
    <t>SBY-KF-1036-2018</t>
  </si>
  <si>
    <t>SBY-KZ-1040-2018</t>
  </si>
  <si>
    <t>JKT-GU-1028-2018</t>
  </si>
  <si>
    <t>SBY-MO-1030-2018</t>
  </si>
  <si>
    <t>JKT-GM-1029-2018</t>
  </si>
  <si>
    <t>SBY-KP-1033-2018</t>
  </si>
  <si>
    <t>SBY-NP-1040-2018</t>
  </si>
  <si>
    <t>SBY-YN-1037-2018</t>
  </si>
  <si>
    <t>BDG-DS-1032-2018</t>
  </si>
  <si>
    <t>SBY-SH-1039-2018</t>
  </si>
  <si>
    <t>SBY-BS-1032-2018</t>
  </si>
  <si>
    <t>SBY-KW-1031-2018</t>
  </si>
  <si>
    <t>SBY-AA-1031-2018</t>
  </si>
  <si>
    <t>SBY-TS-1030-2018</t>
  </si>
  <si>
    <t>SBY-BF-1030-2018</t>
  </si>
  <si>
    <t>SBY-RA-1035-2018</t>
  </si>
  <si>
    <t>SBY-OG-1035-2018</t>
  </si>
  <si>
    <t>SBY-PN-1037-2018</t>
  </si>
  <si>
    <t>SBY-GA-1036-2018</t>
  </si>
  <si>
    <t>SBY-CA-1039-2018</t>
  </si>
  <si>
    <t>SBY-NP-1038-2018</t>
  </si>
  <si>
    <t>JKT-GS-1028-2018</t>
  </si>
  <si>
    <t>SBY-BA-1032-2018</t>
  </si>
  <si>
    <t>SBY-NS-1037-2018</t>
  </si>
  <si>
    <t>SBY-CM-1038-2018</t>
  </si>
  <si>
    <t>BDG-BW-1041-2018</t>
  </si>
  <si>
    <t>SBY-EU-1039-2018</t>
  </si>
  <si>
    <t>JKT-BH-1029-2018</t>
  </si>
  <si>
    <t>SBY-JW-1039-2018</t>
  </si>
  <si>
    <t>SBY-JW-1034-2018</t>
  </si>
  <si>
    <t>JKT-LR-1029-2018</t>
  </si>
  <si>
    <t>BDG-OU-1036-2018</t>
  </si>
  <si>
    <t>SBY-ND-1032-2018</t>
  </si>
  <si>
    <t>SBY-MT-1038-2018</t>
  </si>
  <si>
    <t>JKT-NU-1028-2018</t>
  </si>
  <si>
    <t>SBY-RH-1037-2018</t>
  </si>
  <si>
    <t>SBY-DP-1037-2018</t>
  </si>
  <si>
    <t>SBY-WN-1038-2018</t>
  </si>
  <si>
    <t>JKT-LY-1029-2018</t>
  </si>
  <si>
    <t>SBY-PU-1036-2018</t>
  </si>
  <si>
    <t>SBY-MR-1032-2018</t>
  </si>
  <si>
    <t>JKT-YD-1029-2018</t>
  </si>
  <si>
    <t>SBY-NL-1033-2018</t>
  </si>
  <si>
    <t>JKT-LL-1029-2018</t>
  </si>
  <si>
    <t>SBY-CS-1037-2018</t>
  </si>
  <si>
    <t>JKT-PS-1029-2018</t>
  </si>
  <si>
    <t>JKT-AM-1028-2018</t>
  </si>
  <si>
    <t>BDG-CP-1036-2018</t>
  </si>
  <si>
    <t>SBY-HS-1033-2018</t>
  </si>
  <si>
    <t>JKT-IN-1028-2018</t>
  </si>
  <si>
    <t>SBY-KA-1030-2018</t>
  </si>
  <si>
    <t>JKT-RP-1029-2018</t>
  </si>
  <si>
    <t>BDG-NN-1033-2018</t>
  </si>
  <si>
    <t>SBY-DR-1032-2018</t>
  </si>
  <si>
    <t>BDG-HF-1041-2018</t>
  </si>
  <si>
    <t>SBY-HU-1039-2018</t>
  </si>
  <si>
    <t>SBY-AP-1040-2018</t>
  </si>
  <si>
    <t>BDG-LL-1039-2018</t>
  </si>
  <si>
    <t>SBY-MF-1034-2018</t>
  </si>
  <si>
    <t>SBY-JS-1040-2018</t>
  </si>
  <si>
    <t>SBY-RS-1039-2018</t>
  </si>
  <si>
    <t>SBY-YW-1034-2018</t>
  </si>
  <si>
    <t>JKT-GN-1029-2018</t>
  </si>
  <si>
    <t>JKT-LS-1029-2018</t>
  </si>
  <si>
    <t>JKT-DS-1028-2018</t>
  </si>
  <si>
    <t>BDG-DP-1039-2018</t>
  </si>
  <si>
    <t>JKT-BS-1029-2018</t>
  </si>
  <si>
    <t>JKT-AK-1029-2018</t>
  </si>
  <si>
    <t>BDG-SN-1036-2018</t>
  </si>
  <si>
    <t>JKT-KH-1028-2018</t>
  </si>
  <si>
    <t>SBY-FP-1033-2018</t>
  </si>
  <si>
    <t>SBY-BF-1038-2018</t>
  </si>
  <si>
    <t>JKT-UP-1029-2018</t>
  </si>
  <si>
    <t>SBY-MY-1034-2018</t>
  </si>
  <si>
    <t>SBY-PR-1036-2018</t>
  </si>
  <si>
    <t>JKT-RA-1028-2018</t>
  </si>
  <si>
    <t>SBY-KM-1030-2018</t>
  </si>
  <si>
    <t>SBY-OP-1038-2018</t>
  </si>
  <si>
    <t>SBY-CW-1034-2018</t>
  </si>
  <si>
    <t>SBY-MW-1032-2018</t>
  </si>
  <si>
    <t>BDG-RP-1033-2018</t>
  </si>
  <si>
    <t>SBY-UM-1037-2018</t>
  </si>
  <si>
    <t>SBY-WS-1036-2018</t>
  </si>
  <si>
    <t>JKT-SS-1029-2018</t>
  </si>
  <si>
    <t>SBY-LT-1031-2018</t>
  </si>
  <si>
    <t>JKT-LP-1028-2018</t>
  </si>
  <si>
    <t>SBY-KS-1039-2018</t>
  </si>
  <si>
    <t>SBY-EA-1034-2018</t>
  </si>
  <si>
    <t>JKT-EY-1028-2018</t>
  </si>
  <si>
    <t>SBY-TK-1031-2018</t>
  </si>
  <si>
    <t>SBY-HS-1034-2018</t>
  </si>
  <si>
    <t>JKT-HM-1029-2018</t>
  </si>
  <si>
    <t>SBY-AW-1040-2018</t>
  </si>
  <si>
    <t>SBY-EM-1034-2018</t>
  </si>
  <si>
    <t>SBY-RS-1031-2018</t>
  </si>
  <si>
    <t>JKT-HF-1029-2018</t>
  </si>
  <si>
    <t>JKT-KN-1029-2018</t>
  </si>
  <si>
    <t>SBY-HP-1037-2018</t>
  </si>
  <si>
    <t>SBY-TH-1034-2018</t>
  </si>
  <si>
    <t>SBY-IH-1036-2018</t>
  </si>
  <si>
    <t>JKT-IA-1029-2018</t>
  </si>
  <si>
    <t>SBY-NZ-1034-2018</t>
  </si>
  <si>
    <t>SBY-AP-1037-2018</t>
  </si>
  <si>
    <t>SBY-AM-1034-2018</t>
  </si>
  <si>
    <t>SBY-JP-1037-2018</t>
  </si>
  <si>
    <t>SBY-VK-1036-2018</t>
  </si>
  <si>
    <t>SBY-KH-1036-2018</t>
  </si>
  <si>
    <t>SBY-AS-1038-2018</t>
  </si>
  <si>
    <t>SBY-CY-1036-2018</t>
  </si>
  <si>
    <t>SBY-SJ-1032-2018</t>
  </si>
  <si>
    <t>SBY-LW-1034-2018</t>
  </si>
  <si>
    <t>JKT-PM-1028-2018</t>
  </si>
  <si>
    <t>SBY-OM-1033-2018</t>
  </si>
  <si>
    <t>JKT-CM-1029-2018</t>
  </si>
  <si>
    <t>SBY-IO-1037-2018</t>
  </si>
  <si>
    <t>JKT-HP-1029-2018</t>
  </si>
  <si>
    <t>SBY-JM-1036-2018</t>
  </si>
  <si>
    <t>SBY-OP-1036-2018</t>
  </si>
  <si>
    <t>JKT-LU-1029-2018</t>
  </si>
  <si>
    <t>SBY-GS-1034-2018</t>
  </si>
  <si>
    <t>JKT-CH-1028-2018</t>
  </si>
  <si>
    <t>JKT-LH-1029-2018</t>
  </si>
  <si>
    <t>SBY-KH-1039-2018</t>
  </si>
  <si>
    <t>SBY-KH-1033-2018</t>
  </si>
  <si>
    <t>SBY-AL-1034-2018</t>
  </si>
  <si>
    <t>SBY-HS-1036-2018</t>
  </si>
  <si>
    <t>JKT-KW-1029-2018</t>
  </si>
  <si>
    <t>SBY-BS-1031-2018</t>
  </si>
  <si>
    <t>JKT-TH-1028-2018</t>
  </si>
  <si>
    <t>SBY-IW-1040-2018</t>
  </si>
  <si>
    <t>SBY-ZA-1031-2018</t>
  </si>
  <si>
    <t>SBY-GN-1039-2018</t>
  </si>
  <si>
    <t>SBY-CH-1037-2018</t>
  </si>
  <si>
    <t>JKT-JW-1029-2018</t>
  </si>
  <si>
    <t>SBY-CF-1039-2018</t>
  </si>
  <si>
    <t>JKT-AA-1028-2018</t>
  </si>
  <si>
    <t>JKT-PW-1029-2018</t>
  </si>
  <si>
    <t>SBY-IH-1030-2018</t>
  </si>
  <si>
    <t>SBY-OP-1037-2018</t>
  </si>
  <si>
    <t>JKT-BA-1028-2018</t>
  </si>
  <si>
    <t>SBY-AU-1034-2018</t>
  </si>
  <si>
    <t>SBY-OP-1030-2018</t>
  </si>
  <si>
    <t>BDG-ON-1039-2018</t>
  </si>
  <si>
    <t>SBY-AJ-1030-2018</t>
  </si>
  <si>
    <t>SBY-YA-1033-2018</t>
  </si>
  <si>
    <t>JKT-NS-1029-2018</t>
  </si>
  <si>
    <t>SBY-EM-1030-2018</t>
  </si>
  <si>
    <t>SBY-CW-1038-2018</t>
  </si>
  <si>
    <t>SBY-KY-1031-2018</t>
  </si>
  <si>
    <t>JKT-AA-1029-2018</t>
  </si>
  <si>
    <t>SBY-MT-1033-2018</t>
  </si>
  <si>
    <t>SBY-PW-1036-2018</t>
  </si>
  <si>
    <t>JKT-EW-1029-2019</t>
  </si>
  <si>
    <t>JKT-WN-1029-2019</t>
  </si>
  <si>
    <t>SBY-LS-1036-2019</t>
  </si>
  <si>
    <t>JKT-IN-1028-2019</t>
  </si>
  <si>
    <t>SBY-DI-1036-2019</t>
  </si>
  <si>
    <t>SBY-KK-1036-2019</t>
  </si>
  <si>
    <t>JKT-JL-1029-2019</t>
  </si>
  <si>
    <t>SBY-DM-1031-2019</t>
  </si>
  <si>
    <t>SBY-RP-1036-2019</t>
  </si>
  <si>
    <t>SBY-EB-1039-2019</t>
  </si>
  <si>
    <t>SBY-RP-1041-2019</t>
  </si>
  <si>
    <t>JKT-IM-1029-2019</t>
  </si>
  <si>
    <t>SBY-IN-1031-2019</t>
  </si>
  <si>
    <t>SBY-KH-1030-2019</t>
  </si>
  <si>
    <t>SBY-CA-1037-2019</t>
  </si>
  <si>
    <t>JKT-CH-1028-2019</t>
  </si>
  <si>
    <t>SBY-LH-1033-2019</t>
  </si>
  <si>
    <t>JKT-NW-1028-2019</t>
  </si>
  <si>
    <t>SBY-JS-1038-2019</t>
  </si>
  <si>
    <t>SBY-DL-1039-2019</t>
  </si>
  <si>
    <t>JKT-AW-1029-2019</t>
  </si>
  <si>
    <t>SBY-JS-1039-2019</t>
  </si>
  <si>
    <t>JKT-AK-1029-2019</t>
  </si>
  <si>
    <t>BDG-SN-1036-2019</t>
  </si>
  <si>
    <t>SBY-PR-1040-2019</t>
  </si>
  <si>
    <t>SBY-IW-1040-2019</t>
  </si>
  <si>
    <t>JKT-IY-1028-2019</t>
  </si>
  <si>
    <t>SBY-KF-1036-2019</t>
  </si>
  <si>
    <t>SBY-BT-1032-2019</t>
  </si>
  <si>
    <t>SBY-AL-1034-2019</t>
  </si>
  <si>
    <t>SBY-JS-1036-2019</t>
  </si>
  <si>
    <t>JKT-RR-1028-2019</t>
  </si>
  <si>
    <t>SBY-KS-1030-2019</t>
  </si>
  <si>
    <t>JKT-WM-1028-2019</t>
  </si>
  <si>
    <t>SBY-KS-1039-2019</t>
  </si>
  <si>
    <t>SBY-ES-1032-2019</t>
  </si>
  <si>
    <t>SBY-NH-1031-2019</t>
  </si>
  <si>
    <t>SBY-CS-1037-2019</t>
  </si>
  <si>
    <t>BDG-KP-1036-2019</t>
  </si>
  <si>
    <t>JKT-KN-1029-2019</t>
  </si>
  <si>
    <t>SBY-TM-1032-2019</t>
  </si>
  <si>
    <t>BDG-ZP-1036-2019</t>
  </si>
  <si>
    <t>JKT-NS-1028-2019</t>
  </si>
  <si>
    <t>SBY-YM-1034-2019</t>
  </si>
  <si>
    <t>BDG-HF-1041-2019</t>
  </si>
  <si>
    <t>SBY-RM-1032-2019</t>
  </si>
  <si>
    <t>SBY-GG-1030-2019</t>
  </si>
  <si>
    <t>SBY-HS-1036-2019</t>
  </si>
  <si>
    <t>JKT-TH-1028-2019</t>
  </si>
  <si>
    <t>SBY-EW-1036-2019</t>
  </si>
  <si>
    <t>BDG-ON-1039-2019</t>
  </si>
  <si>
    <t>BDG-EW-1033-2019</t>
  </si>
  <si>
    <t>SBY-EM-1040-2019</t>
  </si>
  <si>
    <t>SBY-OS-1038-2019</t>
  </si>
  <si>
    <t>SBY-KY-1031-2019</t>
  </si>
  <si>
    <t>SBY-BM-1035-2019</t>
  </si>
  <si>
    <t>SBY-DP-1037-2019</t>
  </si>
  <si>
    <t>SBY-DS-1032-2019</t>
  </si>
  <si>
    <t>SBY-LY-1034-2019</t>
  </si>
  <si>
    <t>SBY-PH-1036-2019</t>
  </si>
  <si>
    <t>SBY-HH-1040-2019</t>
  </si>
  <si>
    <t>BDG-LP-1036-2019</t>
  </si>
  <si>
    <t>SBY-KB-1037-2019</t>
  </si>
  <si>
    <t>BDG-HS-1039-2019</t>
  </si>
  <si>
    <t>SBY-AS-1038-2019</t>
  </si>
  <si>
    <t>JKT-MH-1029-2019</t>
  </si>
  <si>
    <t>SBY-HI-1030-2019</t>
  </si>
  <si>
    <t>JKT-BH-1028-2019</t>
  </si>
  <si>
    <t>BDG-BR-1032-2019</t>
  </si>
  <si>
    <t>JKT-DR-1028-2019</t>
  </si>
  <si>
    <t>SBY-SH-1034-2019</t>
  </si>
  <si>
    <t>SBY-KP-1038-2019</t>
  </si>
  <si>
    <t>JKT-PW-1029-2019</t>
  </si>
  <si>
    <t>JKT-KS-1029-2019</t>
  </si>
  <si>
    <t>SBY-SW-1030-2019</t>
  </si>
  <si>
    <t>SBY-TS-1031-2019</t>
  </si>
  <si>
    <t>SBY-AY-1031-2019</t>
  </si>
  <si>
    <t>SBY-IP-1039-2019</t>
  </si>
  <si>
    <t>JKT-AM-1028-2019</t>
  </si>
  <si>
    <t>JKT-DU-1028-2019</t>
  </si>
  <si>
    <t>SBY-II-1031-2019</t>
  </si>
  <si>
    <t>SBY-JG-1034-2019</t>
  </si>
  <si>
    <t>SBY-AR-1032-2019</t>
  </si>
  <si>
    <t>BDG-DS-1032-2019</t>
  </si>
  <si>
    <t>SBY-KA-1037-2019</t>
  </si>
  <si>
    <t>SBY-CR-1036-2019</t>
  </si>
  <si>
    <t>SBY-AW-1040-2019</t>
  </si>
  <si>
    <t>SBY-RS-1031-2019</t>
  </si>
  <si>
    <t>SBY-KS-1037-2019</t>
  </si>
  <si>
    <t>SBY-PP-1032-2019</t>
  </si>
  <si>
    <t>SBY-JM-1036-2019</t>
  </si>
  <si>
    <t>SBY-VM-1032-2019</t>
  </si>
  <si>
    <t>JKT-AS-1028-2019</t>
  </si>
  <si>
    <t>SBY-AH-1032-2019</t>
  </si>
  <si>
    <t>SBY-US-1038-2019</t>
  </si>
  <si>
    <t>JKT-BN-1028-2019</t>
  </si>
  <si>
    <t>SBY-PA-1030-2019</t>
  </si>
  <si>
    <t>JKT-PI-1029-2019</t>
  </si>
  <si>
    <t>JKT-SS-1029-2019</t>
  </si>
  <si>
    <t>SBY-OP-1032-2019</t>
  </si>
  <si>
    <t>JKT-ES-1029-2019</t>
  </si>
  <si>
    <t>SBY-LN-1033-2019</t>
  </si>
  <si>
    <t>JKT-PS-1028-2019</t>
  </si>
  <si>
    <t>SBY-RS-1036-2019</t>
  </si>
  <si>
    <t>SBY-GI-1036-2019</t>
  </si>
  <si>
    <t>SBY-LP-1036-2019</t>
  </si>
  <si>
    <t>SBY-SM-1032-2019</t>
  </si>
  <si>
    <t>BDG-ML-1032-2019</t>
  </si>
  <si>
    <t>SBY-PN-1037-2019</t>
  </si>
  <si>
    <t>JKT-KK-1029-2019</t>
  </si>
  <si>
    <t>SBY-HP-1031-2019</t>
  </si>
  <si>
    <t>SBY-AM-1038-2019</t>
  </si>
  <si>
    <t>JKT-JS-1029-2019</t>
  </si>
  <si>
    <t>SBY-BS-1032-2019</t>
  </si>
  <si>
    <t>SBY-EU-1037-2019</t>
  </si>
  <si>
    <t>JKT-QF-1028-2019</t>
  </si>
  <si>
    <t>JKT-NU-1028-2019</t>
  </si>
  <si>
    <t>BDG-LS-1036-2019</t>
  </si>
  <si>
    <t>SBY-GS-1032-2019</t>
  </si>
  <si>
    <t>SBY-VP-1030-2019</t>
  </si>
  <si>
    <t>SBY-MS-1033-2019</t>
  </si>
  <si>
    <t>JKT-WR-1028-2019</t>
  </si>
  <si>
    <t>JKT-GP-1028-2019</t>
  </si>
  <si>
    <t>JKT-HP-1029-2019</t>
  </si>
  <si>
    <t>SBY-MH-1037-2019</t>
  </si>
  <si>
    <t>SBY-NS-1037-2019</t>
  </si>
  <si>
    <t>SBY-AJ-1030-2019</t>
  </si>
  <si>
    <t>BDG-RP-1033-2019</t>
  </si>
  <si>
    <t>JKT-LN-1029-2019</t>
  </si>
  <si>
    <t>SBY-PP-1040-2019</t>
  </si>
  <si>
    <t>SBY-LT-1030-2019</t>
  </si>
  <si>
    <t>JKT-NP-1029-2019</t>
  </si>
  <si>
    <t>SBY-KP-1035-2019</t>
  </si>
  <si>
    <t>BDG-OS-1032-2019</t>
  </si>
  <si>
    <t>SBY-GK-1036-2019</t>
  </si>
  <si>
    <t>BDG-CP-1036-2019</t>
  </si>
  <si>
    <t>SBY-LS-1039-2019</t>
  </si>
  <si>
    <t>SBY-PP-1037-2019</t>
  </si>
  <si>
    <t>SBY-RY-1037-2019</t>
  </si>
  <si>
    <t>SBY-DS-1031-2019</t>
  </si>
  <si>
    <t>SBY-SH-1039-2019</t>
  </si>
  <si>
    <t>SBY-CF-1039-2019</t>
  </si>
  <si>
    <t>SBY-AD-1031-2019</t>
  </si>
  <si>
    <t>SBY-RS-1041-2019</t>
  </si>
  <si>
    <t>SBY-AW-1034-2019</t>
  </si>
  <si>
    <t>SBY-JZ-1032-2019</t>
  </si>
  <si>
    <t>SBY-EW-1033-2019</t>
  </si>
  <si>
    <t>SBY-JR-1032-2019</t>
  </si>
  <si>
    <t>SBY-SP-1036-2019</t>
  </si>
  <si>
    <t>SBY-LT-1034-2019</t>
  </si>
  <si>
    <t>SBY-NP-1036-2019</t>
  </si>
  <si>
    <t>SBY-TM-1040-2019</t>
  </si>
  <si>
    <t>SBY-CF-1033-2019</t>
  </si>
  <si>
    <t>SBY-UM-1037-2019</t>
  </si>
  <si>
    <t>SBY-NL-1031-2019</t>
  </si>
  <si>
    <t>SBY-KA-1030-2019</t>
  </si>
  <si>
    <t>SBY-MR-1032-2019</t>
  </si>
  <si>
    <t>SBY-VW-1033-2019</t>
  </si>
  <si>
    <t>SBY-AS-1036-2019</t>
  </si>
  <si>
    <t>SBY-TH-1034-2019</t>
  </si>
  <si>
    <t>SBY-WH-1031-2019</t>
  </si>
  <si>
    <t>JKT-UM-1029-2019</t>
  </si>
  <si>
    <t>JKT-HJ-1029-2019</t>
  </si>
  <si>
    <t>BDG-DP-1033-2019</t>
  </si>
  <si>
    <t>SBY-AM-1034-2019</t>
  </si>
  <si>
    <t>JKT-RP-1028-2019</t>
  </si>
  <si>
    <t>SBY-GH-1037-2019</t>
  </si>
  <si>
    <t>SBY-VK-1033-2019</t>
  </si>
  <si>
    <t>SBY-KM-1037-2019</t>
  </si>
  <si>
    <t>SBY-SA-1037-2019</t>
  </si>
  <si>
    <t>JKT-GK-1028-2019</t>
  </si>
  <si>
    <t>SBY-BS-1039-2019</t>
  </si>
  <si>
    <t>JKT-BA-1028-2019</t>
  </si>
  <si>
    <t>SBY-YL-1031-2019</t>
  </si>
  <si>
    <t>BDG-BW-1041-2019</t>
  </si>
  <si>
    <t>SBY-WS-1040-2019</t>
  </si>
  <si>
    <t>SBY-DS-1039-2019</t>
  </si>
  <si>
    <t>SBY-EA-1039-2019</t>
  </si>
  <si>
    <t>SBY-ER-1036-2019</t>
  </si>
  <si>
    <t>SBY-CY-1036-2019</t>
  </si>
  <si>
    <t>JKT-BM-1028-2019</t>
  </si>
  <si>
    <t>SBY-CP-1036-2019</t>
  </si>
  <si>
    <t>SBY-NN-1033-2020</t>
  </si>
  <si>
    <t>SBY-IW-1040-2020</t>
  </si>
  <si>
    <t>JKT-DM-1029-2020</t>
  </si>
  <si>
    <t>SBY-NL-1031-2020</t>
  </si>
  <si>
    <t>SBY-IH-1030-2020</t>
  </si>
  <si>
    <t>JKT-KN-1029-2020</t>
  </si>
  <si>
    <t>SBY-AF-1037-2020</t>
  </si>
  <si>
    <t>BDG-KP-1036-2020</t>
  </si>
  <si>
    <t>JKT-AR-1029-2020</t>
  </si>
  <si>
    <t>BDG-HW-1036-2020</t>
  </si>
  <si>
    <t>SBY-PM-1037-2020</t>
  </si>
  <si>
    <t>JKT-CM-1029-2020</t>
  </si>
  <si>
    <t>SBY-KW-1031-2020</t>
  </si>
  <si>
    <t>SBY-GM-1031-2020</t>
  </si>
  <si>
    <t>SBY-RJ-1034-2020</t>
  </si>
  <si>
    <t>BDG-OU-1036-2020</t>
  </si>
  <si>
    <t>JKT-AM-1028-2020</t>
  </si>
  <si>
    <t>JKT-PW-1029-2020</t>
  </si>
  <si>
    <t>SBY-EM-1030-2020</t>
  </si>
  <si>
    <t>SBY-XP-1036-2020</t>
  </si>
  <si>
    <t>JKT-LL-1028-2020</t>
  </si>
  <si>
    <t>SBY-AU-1039-2020</t>
  </si>
  <si>
    <t>SBY-AH-1037-2020</t>
  </si>
  <si>
    <t>SBY-KP-1033-2020</t>
  </si>
  <si>
    <t>BDG-SN-1036-2020</t>
  </si>
  <si>
    <t>SBY-JZ-1032-2020</t>
  </si>
  <si>
    <t>SBY-OM-1040-2020</t>
  </si>
  <si>
    <t>JKT-RA-1028-2020</t>
  </si>
  <si>
    <t>SBY-DP-1037-2020</t>
  </si>
  <si>
    <t>SBY-NS-1040-2020</t>
  </si>
  <si>
    <t>JKT-TH-1028-2020</t>
  </si>
  <si>
    <t>SBY-CN-1032-2020</t>
  </si>
  <si>
    <t>JKT-WR-1028-2020</t>
  </si>
  <si>
    <t>JKT-JN-1028-2020</t>
  </si>
  <si>
    <t>JKT-LA-1029-2020</t>
  </si>
  <si>
    <t>SBY-WH-1039-2020</t>
  </si>
  <si>
    <t>JKT-WN-1029-2020</t>
  </si>
  <si>
    <t>SBY-RF-1034-2020</t>
  </si>
  <si>
    <t>SBY-MP-1034-2020</t>
  </si>
  <si>
    <t>SBY-RF-1030-2020</t>
  </si>
  <si>
    <t>SBY-DY-1031-2020</t>
  </si>
  <si>
    <t>SBY-WM-1032-2020</t>
  </si>
  <si>
    <t>BDG-NN-1033-2020</t>
  </si>
  <si>
    <t>SBY-GM-1036-2020</t>
  </si>
  <si>
    <t>SBY-PR-1033-2020</t>
  </si>
  <si>
    <t>JKT-GU-1028-2020</t>
  </si>
  <si>
    <t>SBY-TR-1033-2020</t>
  </si>
  <si>
    <t>BDG-HF-1041-2020</t>
  </si>
  <si>
    <t>SBY-FM-1031-2020</t>
  </si>
  <si>
    <t>SBY-KY-1031-2020</t>
  </si>
  <si>
    <t>SBY-RB-1039-2020</t>
  </si>
  <si>
    <t>SBY-KK-1033-2020</t>
  </si>
  <si>
    <t>SBY-HN-1036-2020</t>
  </si>
  <si>
    <t>JKT-RP-1029-2020</t>
  </si>
  <si>
    <t>SBY-NP-1040-2020</t>
  </si>
  <si>
    <t>SBY-OI-1036-2020</t>
  </si>
  <si>
    <t>SBY-RA-1030-2020</t>
  </si>
  <si>
    <t>SBY-UA-1038-2020</t>
  </si>
  <si>
    <t>SBY-KS-1039-2020</t>
  </si>
  <si>
    <t>SBY-PD-1032-2020</t>
  </si>
  <si>
    <t>SBY-RM-1034-2020</t>
  </si>
  <si>
    <t>SBY-AR-1038-2020</t>
  </si>
  <si>
    <t>SBY-JW-1039-2020</t>
  </si>
  <si>
    <t>SBY-CH-1037-2020</t>
  </si>
  <si>
    <t>SBY-EA-1030-2020</t>
  </si>
  <si>
    <t>BDG-LL-1039-2020</t>
  </si>
  <si>
    <t>JKT-HP-1029-2020</t>
  </si>
  <si>
    <t>SBY-OP-1036-2020</t>
  </si>
  <si>
    <t>SBY-CW-1030-2020</t>
  </si>
  <si>
    <t>JKT-ZM-1028-2020</t>
  </si>
  <si>
    <t>SBY-CP-1031-2020</t>
  </si>
  <si>
    <t>SBY-MY-1034-2020</t>
  </si>
  <si>
    <t>JKT-WS-1029-2020</t>
  </si>
  <si>
    <t>BDG-LS-1036-2020</t>
  </si>
  <si>
    <t>SBY-GA-1036-2020</t>
  </si>
  <si>
    <t>SBY-EZ-1038-2020</t>
  </si>
  <si>
    <t>Inisial</t>
  </si>
  <si>
    <t>Isi kolom-kolom yang kosong</t>
  </si>
  <si>
    <t>Produk apa yang paling lama dikirim setelah dipesan?</t>
  </si>
  <si>
    <t>Question</t>
  </si>
  <si>
    <t>Answer</t>
  </si>
  <si>
    <t>Produk apa yang paling banyak dipesan?</t>
  </si>
  <si>
    <t>Total Profit</t>
  </si>
  <si>
    <t>Produk apa yang mempunyai profit margin paling tinggi?</t>
  </si>
  <si>
    <t>Berapa banyak Wrap Bag terjual pada tahun 2019?</t>
  </si>
  <si>
    <t>Berapakah Rata-rata Total Profit pada tahun 2018?</t>
  </si>
  <si>
    <t>Total Keuntungan (Total - Total biaya produksi)</t>
  </si>
  <si>
    <t>Kota</t>
  </si>
  <si>
    <t>Langkah</t>
  </si>
  <si>
    <t>Penjelasan</t>
  </si>
  <si>
    <t>Isi Order ID dengan format: inisial kota-inisial Customer Name-nomor manager ID-tahun order date</t>
  </si>
  <si>
    <t>5/29/2016</t>
  </si>
  <si>
    <t>5/30/2016</t>
  </si>
  <si>
    <t>6/25/2016</t>
  </si>
  <si>
    <t>7/16/2016</t>
  </si>
  <si>
    <t>7/13/2016</t>
  </si>
  <si>
    <t>8/13/2016</t>
  </si>
  <si>
    <t>8/14/2016</t>
  </si>
  <si>
    <t>8/15/2016</t>
  </si>
  <si>
    <t>8/18/2016</t>
  </si>
  <si>
    <t>8/27/2016</t>
  </si>
  <si>
    <t>8/28/2016</t>
  </si>
  <si>
    <t>9/13/2016</t>
  </si>
  <si>
    <t>9/16/2016</t>
  </si>
  <si>
    <t>9/17/2016</t>
  </si>
  <si>
    <t>10/13/2016</t>
  </si>
  <si>
    <t>10/15/2016</t>
  </si>
  <si>
    <t>10/17/2016</t>
  </si>
  <si>
    <t>10/19/2016</t>
  </si>
  <si>
    <t>10/18/2016</t>
  </si>
  <si>
    <t>10/25/2016</t>
  </si>
  <si>
    <t>10/22/2016</t>
  </si>
  <si>
    <t>10/28/2016</t>
  </si>
  <si>
    <t>10/29/2016</t>
  </si>
  <si>
    <t>11/13/2016</t>
  </si>
  <si>
    <t>11/14/2016</t>
  </si>
  <si>
    <t>11/16/2016</t>
  </si>
  <si>
    <t>11/25/2016</t>
  </si>
  <si>
    <t>11/28/2016</t>
  </si>
  <si>
    <t>12/15/2016</t>
  </si>
  <si>
    <t>12/16/2016</t>
  </si>
  <si>
    <t>12/22/2016</t>
  </si>
  <si>
    <t>12/23/2016</t>
  </si>
  <si>
    <t>12/27/2016</t>
  </si>
  <si>
    <t>12/28/2016</t>
  </si>
  <si>
    <t>1/14/2017</t>
  </si>
  <si>
    <t>1/24/2017</t>
  </si>
  <si>
    <t>1/19/2017</t>
  </si>
  <si>
    <t>1/23/2017</t>
  </si>
  <si>
    <t>1/26/2017</t>
  </si>
  <si>
    <t>2/15/2017</t>
  </si>
  <si>
    <t>2/21/2017</t>
  </si>
  <si>
    <t>2/26/2017</t>
  </si>
  <si>
    <t>2/28/2017</t>
  </si>
  <si>
    <t>3/21/2017</t>
  </si>
  <si>
    <t>3/29/2017</t>
  </si>
  <si>
    <t>3/23/2017</t>
  </si>
  <si>
    <t>3/26/2017</t>
  </si>
  <si>
    <t>3/28/2017</t>
  </si>
  <si>
    <t>4/13/2017</t>
  </si>
  <si>
    <t>4/20/2017</t>
  </si>
  <si>
    <t>4/26/2017</t>
  </si>
  <si>
    <t>4/25/2017</t>
  </si>
  <si>
    <t>4/30/2017</t>
  </si>
  <si>
    <t>5/17/2017</t>
  </si>
  <si>
    <t>5/16/2017</t>
  </si>
  <si>
    <t>5/22/2017</t>
  </si>
  <si>
    <t>5/27/2017</t>
  </si>
  <si>
    <t>5/28/2017</t>
  </si>
  <si>
    <t>6/23/2017</t>
  </si>
  <si>
    <t>6/30/2017</t>
  </si>
  <si>
    <t>7/17/2017</t>
  </si>
  <si>
    <t>7/18/2017</t>
  </si>
  <si>
    <t>7/24/2017</t>
  </si>
  <si>
    <t>7/20/2017</t>
  </si>
  <si>
    <t>7/29/2017</t>
  </si>
  <si>
    <t>8/15/2017</t>
  </si>
  <si>
    <t>8/16/2017</t>
  </si>
  <si>
    <t>8/19/2017</t>
  </si>
  <si>
    <t>8/25/2017</t>
  </si>
  <si>
    <t>8/24/2017</t>
  </si>
  <si>
    <t>8/22/2017</t>
  </si>
  <si>
    <t>8/26/2017</t>
  </si>
  <si>
    <t>8/30/2017</t>
  </si>
  <si>
    <t>9/16/2017</t>
  </si>
  <si>
    <t>9/17/2017</t>
  </si>
  <si>
    <t>9/19/2017</t>
  </si>
  <si>
    <t>9/20/2017</t>
  </si>
  <si>
    <t>9/22/2017</t>
  </si>
  <si>
    <t>9/21/2017</t>
  </si>
  <si>
    <t>9/30/2017</t>
  </si>
  <si>
    <t>10/18/2017</t>
  </si>
  <si>
    <t>10/25/2017</t>
  </si>
  <si>
    <t>10/26/2017</t>
  </si>
  <si>
    <t>10/29/2017</t>
  </si>
  <si>
    <t>10/30/2017</t>
  </si>
  <si>
    <t>11/16/2017</t>
  </si>
  <si>
    <t>11/14/2017</t>
  </si>
  <si>
    <t>11/13/2017</t>
  </si>
  <si>
    <t>11/18/2017</t>
  </si>
  <si>
    <t>11/26/2017</t>
  </si>
  <si>
    <t>12/14/2017</t>
  </si>
  <si>
    <t>12/17/2017</t>
  </si>
  <si>
    <t>12/20/2017</t>
  </si>
  <si>
    <t>12/26/2017</t>
  </si>
  <si>
    <t>1/14/2018</t>
  </si>
  <si>
    <t>1/17/2018</t>
  </si>
  <si>
    <t>1/18/2018</t>
  </si>
  <si>
    <t>1/29/2018</t>
  </si>
  <si>
    <t>1/23/2018</t>
  </si>
  <si>
    <t>1/31/2018</t>
  </si>
  <si>
    <t>2/15/2018</t>
  </si>
  <si>
    <t>2/16/2018</t>
  </si>
  <si>
    <t>2/24/2018</t>
  </si>
  <si>
    <t>3/25/2018</t>
  </si>
  <si>
    <t>4/13/2018</t>
  </si>
  <si>
    <t>4/18/2018</t>
  </si>
  <si>
    <t>4/27/2018</t>
  </si>
  <si>
    <t>4/28/2018</t>
  </si>
  <si>
    <t>4/29/2018</t>
  </si>
  <si>
    <t>5/15/2018</t>
  </si>
  <si>
    <t>5/17/2018</t>
  </si>
  <si>
    <t>5/18/2018</t>
  </si>
  <si>
    <t>5/21/2018</t>
  </si>
  <si>
    <t>5/25/2018</t>
  </si>
  <si>
    <t>5/31/2018</t>
  </si>
  <si>
    <t>5/28/2018</t>
  </si>
  <si>
    <t>5/27/2018</t>
  </si>
  <si>
    <t>5/30/2018</t>
  </si>
  <si>
    <t>6/13/2018</t>
  </si>
  <si>
    <t>6/16/2018</t>
  </si>
  <si>
    <t>6/15/2018</t>
  </si>
  <si>
    <t>6/29/2018</t>
  </si>
  <si>
    <t>7/14/2018</t>
  </si>
  <si>
    <t>7/18/2018</t>
  </si>
  <si>
    <t>7/22/2018</t>
  </si>
  <si>
    <t>7/24/2018</t>
  </si>
  <si>
    <t>7/25/2018</t>
  </si>
  <si>
    <t>7/27/2018</t>
  </si>
  <si>
    <t>8/13/2018</t>
  </si>
  <si>
    <t>8/16/2018</t>
  </si>
  <si>
    <t>8/14/2018</t>
  </si>
  <si>
    <t>8/15/2018</t>
  </si>
  <si>
    <t>8/17/2018</t>
  </si>
  <si>
    <t>8/20/2018</t>
  </si>
  <si>
    <t>8/25/2018</t>
  </si>
  <si>
    <t>8/26/2018</t>
  </si>
  <si>
    <t>8/28/2018</t>
  </si>
  <si>
    <t>9/14/2018</t>
  </si>
  <si>
    <t>9/18/2018</t>
  </si>
  <si>
    <t>9/21/2018</t>
  </si>
  <si>
    <t>9/26/2018</t>
  </si>
  <si>
    <t>9/28/2018</t>
  </si>
  <si>
    <t>9/27/2018</t>
  </si>
  <si>
    <t>10/15/2018</t>
  </si>
  <si>
    <t>10/17/2018</t>
  </si>
  <si>
    <t>10/25/2018</t>
  </si>
  <si>
    <t>10/31/2018</t>
  </si>
  <si>
    <t>10/29/2018</t>
  </si>
  <si>
    <t>11/16/2018</t>
  </si>
  <si>
    <t>11/20/2018</t>
  </si>
  <si>
    <t>11/21/2018</t>
  </si>
  <si>
    <t>11/24/2018</t>
  </si>
  <si>
    <t>11/27/2018</t>
  </si>
  <si>
    <t>11/29/2018</t>
  </si>
  <si>
    <t>12/14/2018</t>
  </si>
  <si>
    <t>12/17/2018</t>
  </si>
  <si>
    <t>12/18/2018</t>
  </si>
  <si>
    <t>12/20/2018</t>
  </si>
  <si>
    <t>12/19/2018</t>
  </si>
  <si>
    <t>12/23/2018</t>
  </si>
  <si>
    <t>12/24/2018</t>
  </si>
  <si>
    <t>12/30/2018</t>
  </si>
  <si>
    <t>1/23/2019</t>
  </si>
  <si>
    <t>1/27/2019</t>
  </si>
  <si>
    <t>1/28/2019</t>
  </si>
  <si>
    <t>2/15/2019</t>
  </si>
  <si>
    <t>2/18/2019</t>
  </si>
  <si>
    <t>2/25/2019</t>
  </si>
  <si>
    <t>3/15/2019</t>
  </si>
  <si>
    <t>3/22/2019</t>
  </si>
  <si>
    <t>3/31/2019</t>
  </si>
  <si>
    <t>4/15/2019</t>
  </si>
  <si>
    <t>5/14/2019</t>
  </si>
  <si>
    <t>5/15/2019</t>
  </si>
  <si>
    <t>5/17/2019</t>
  </si>
  <si>
    <t>5/24/2019</t>
  </si>
  <si>
    <t>5/26/2019</t>
  </si>
  <si>
    <t>5/28/2019</t>
  </si>
  <si>
    <t>5/31/2019</t>
  </si>
  <si>
    <t>6/20/2019</t>
  </si>
  <si>
    <t>6/23/2019</t>
  </si>
  <si>
    <t>7/13/2019</t>
  </si>
  <si>
    <t>7/17/2019</t>
  </si>
  <si>
    <t>7/25/2019</t>
  </si>
  <si>
    <t>7/26/2019</t>
  </si>
  <si>
    <t>7/29/2019</t>
  </si>
  <si>
    <t>8/15/2019</t>
  </si>
  <si>
    <t>8/17/2019</t>
  </si>
  <si>
    <t>8/29/2019</t>
  </si>
  <si>
    <t>9/16/2019</t>
  </si>
  <si>
    <t>9/15/2019</t>
  </si>
  <si>
    <t>9/17/2019</t>
  </si>
  <si>
    <t>9/18/2019</t>
  </si>
  <si>
    <t>9/25/2019</t>
  </si>
  <si>
    <t>9/28/2019</t>
  </si>
  <si>
    <t>9/27/2019</t>
  </si>
  <si>
    <t>9/29/2019</t>
  </si>
  <si>
    <t>10/13/2019</t>
  </si>
  <si>
    <t>10/16/2019</t>
  </si>
  <si>
    <t>10/15/2019</t>
  </si>
  <si>
    <t>10/18/2019</t>
  </si>
  <si>
    <t>10/20/2019</t>
  </si>
  <si>
    <t>10/21/2019</t>
  </si>
  <si>
    <t>10/26/2019</t>
  </si>
  <si>
    <t>10/31/2019</t>
  </si>
  <si>
    <t>11/17/2019</t>
  </si>
  <si>
    <t>11/19/2019</t>
  </si>
  <si>
    <t>12/22/2019</t>
  </si>
  <si>
    <t>12/30/2019</t>
  </si>
  <si>
    <t>1/18/2020</t>
  </si>
  <si>
    <t>1/13/2020</t>
  </si>
  <si>
    <t>1/15/2020</t>
  </si>
  <si>
    <t>1/21/2020</t>
  </si>
  <si>
    <t>1/27/2020</t>
  </si>
  <si>
    <t>1/30/2020</t>
  </si>
  <si>
    <t>2/14/2020</t>
  </si>
  <si>
    <t>2/16/2020</t>
  </si>
  <si>
    <t>2/19/2020</t>
  </si>
  <si>
    <t>2/17/2020</t>
  </si>
  <si>
    <t>2/21/2020</t>
  </si>
  <si>
    <t>2/26/2020</t>
  </si>
  <si>
    <t>2/23/2020</t>
  </si>
  <si>
    <t>2/25/2020</t>
  </si>
  <si>
    <t>2/29/2020</t>
  </si>
  <si>
    <t>3/14/2020</t>
  </si>
  <si>
    <t>3/16/2020</t>
  </si>
  <si>
    <t>3/19/2020</t>
  </si>
  <si>
    <t>3/21/2020</t>
  </si>
  <si>
    <t>3/24/2020</t>
  </si>
  <si>
    <t>3/29/2020</t>
  </si>
  <si>
    <t>3/26/2020</t>
  </si>
  <si>
    <t>Perlu menggunakan rumus</t>
  </si>
  <si>
    <t>Tidak perlu menggunakan rumus</t>
  </si>
  <si>
    <t>Jawab pertanyaan-pertanyaan pada sheet Question</t>
  </si>
  <si>
    <t>*</t>
  </si>
  <si>
    <t>Silahkan menambahkan kolom helper jika dibutuhkan</t>
  </si>
  <si>
    <t>Perbaiki tanggal pada kolom Shipping Date</t>
  </si>
  <si>
    <t>Jawaban benar apabila warna cell menjadi hijau</t>
  </si>
  <si>
    <t>Jawaban salah apabila warna cell menjadi merah</t>
  </si>
  <si>
    <t>Contoh inisial Customer Name</t>
  </si>
  <si>
    <t xml:space="preserve">Afdhal Putra </t>
  </si>
  <si>
    <t>AP</t>
  </si>
  <si>
    <t>Tuti Suryati</t>
  </si>
  <si>
    <t>TS</t>
  </si>
  <si>
    <t>Nama</t>
  </si>
  <si>
    <t>Keuntungan Kotor (Biaya Produksi - Harga Jual)</t>
  </si>
  <si>
    <t>Total keseluruhan dikurangi diskon (Subtotal dikurangi dengan diskonnya)</t>
  </si>
  <si>
    <t>Urutkan data berdasarkan Order Date (kecil ke besar) lalu Account Manager ID (A-Z) lalu Customer Name (Z-A)</t>
  </si>
  <si>
    <t>Total pembelian (Harga Jual * Kuantitas Order)</t>
  </si>
  <si>
    <t xml:space="preserve">RUMUS : </t>
  </si>
  <si>
    <t>ORDER YEAR</t>
  </si>
  <si>
    <t>Inisial kota</t>
  </si>
  <si>
    <t>New Ship Date</t>
  </si>
  <si>
    <t>Lama Kirim</t>
  </si>
  <si>
    <t>Total qty per produk</t>
  </si>
  <si>
    <t>Smith SlimLine Pencil Sharpener</t>
  </si>
  <si>
    <t>RATA RATA TOTAL PROFIT</t>
  </si>
  <si>
    <t>Banyak Wrap bag terjual di 2019</t>
  </si>
  <si>
    <t>Jawaban nomor 4</t>
  </si>
  <si>
    <t>Jawaban nomor 5</t>
  </si>
  <si>
    <t>untuk rumus nomor 4 dan 5 ada di Main Data dipaling jujung setelah kolom total profit diwarnai kuning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</si>
</sst>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3809]* #,##0_-;\-[$Rp-3809]* #,##0_-;_-[$Rp-3809]* &quot;-&quot;??_-;_-@_-"/>
    <numFmt numFmtId="165" formatCode="0.00000000"/>
    <numFmt numFmtId="166" formatCode="_-[$Rp-3809]* #,##0.00_-;\-[$Rp-3809]* #,##0.00_-;_-[$Rp-3809]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4" fillId="0" borderId="0" xfId="0" applyFont="1"/>
    <xf numFmtId="0" fontId="5" fillId="0" borderId="4" xfId="0" applyFont="1" applyBorder="1"/>
    <xf numFmtId="0" fontId="5" fillId="0" borderId="5" xfId="0" applyFont="1" applyBorder="1"/>
    <xf numFmtId="0" fontId="4" fillId="0" borderId="6" xfId="0" applyFont="1" applyBorder="1"/>
    <xf numFmtId="0" fontId="0" fillId="0" borderId="6" xfId="0" applyBorder="1"/>
    <xf numFmtId="0" fontId="8" fillId="5" borderId="6" xfId="0" applyFont="1" applyFill="1" applyBorder="1" applyAlignment="1">
      <alignment horizontal="center" vertical="center"/>
    </xf>
    <xf numFmtId="165" fontId="0" fillId="0" borderId="0" xfId="0" applyNumberFormat="1"/>
    <xf numFmtId="0" fontId="0" fillId="6" borderId="0" xfId="0" applyFill="1"/>
    <xf numFmtId="0" fontId="0" fillId="7" borderId="0" xfId="0" applyFill="1"/>
    <xf numFmtId="0" fontId="8" fillId="3" borderId="6" xfId="0" applyFont="1" applyFill="1" applyBorder="1"/>
    <xf numFmtId="0" fontId="8" fillId="6" borderId="6" xfId="0" applyFont="1" applyFill="1" applyBorder="1"/>
    <xf numFmtId="0" fontId="6" fillId="0" borderId="6" xfId="0" applyFont="1" applyBorder="1"/>
    <xf numFmtId="0" fontId="0" fillId="0" borderId="6" xfId="0" applyBorder="1" applyAlignment="1">
      <alignment horizontal="left"/>
    </xf>
    <xf numFmtId="0" fontId="8" fillId="7" borderId="6" xfId="0" applyFont="1" applyFill="1" applyBorder="1"/>
    <xf numFmtId="164" fontId="6" fillId="0" borderId="6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11" fillId="3" borderId="0" xfId="0" applyNumberFormat="1" applyFont="1" applyFill="1" applyProtection="1">
      <protection locked="0"/>
    </xf>
    <xf numFmtId="0" fontId="11" fillId="3" borderId="0" xfId="0" applyFont="1" applyFill="1" applyProtection="1">
      <protection locked="0"/>
    </xf>
    <xf numFmtId="164" fontId="11" fillId="3" borderId="0" xfId="0" applyNumberFormat="1" applyFont="1" applyFill="1" applyProtection="1"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9" fontId="6" fillId="0" borderId="0" xfId="0" applyNumberFormat="1" applyFont="1" applyProtection="1">
      <protection locked="0"/>
    </xf>
    <xf numFmtId="0" fontId="12" fillId="0" borderId="0" xfId="0" applyFont="1" applyAlignment="1" applyProtection="1">
      <alignment horizontal="centerContinuous"/>
      <protection locked="0"/>
    </xf>
    <xf numFmtId="14" fontId="10" fillId="0" borderId="0" xfId="0" applyNumberFormat="1" applyFont="1" applyAlignment="1" applyProtection="1">
      <alignment horizontal="centerContinuous"/>
      <protection locked="0"/>
    </xf>
    <xf numFmtId="0" fontId="7" fillId="0" borderId="0" xfId="0" applyFont="1" applyAlignment="1" applyProtection="1">
      <alignment horizontal="centerContinuous"/>
      <protection locked="0"/>
    </xf>
    <xf numFmtId="164" fontId="10" fillId="0" borderId="0" xfId="0" applyNumberFormat="1" applyFont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14" fontId="5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3" fillId="0" borderId="6" xfId="0" applyFont="1" applyBorder="1"/>
    <xf numFmtId="0" fontId="3" fillId="0" borderId="0" xfId="0" applyFont="1"/>
    <xf numFmtId="0" fontId="2" fillId="0" borderId="6" xfId="0" applyFont="1" applyBorder="1"/>
    <xf numFmtId="0" fontId="6" fillId="0" borderId="0" xfId="0" applyFont="1"/>
    <xf numFmtId="0" fontId="1" fillId="0" borderId="6" xfId="0" applyFont="1" applyBorder="1"/>
    <xf numFmtId="164" fontId="6" fillId="0" borderId="0" xfId="0" applyNumberFormat="1" applyFont="1"/>
    <xf numFmtId="166" fontId="6" fillId="0" borderId="0" xfId="0" applyNumberFormat="1" applyFont="1" applyProtection="1">
      <protection locked="0"/>
    </xf>
    <xf numFmtId="10" fontId="6" fillId="0" borderId="0" xfId="0" applyNumberFormat="1" applyFont="1"/>
    <xf numFmtId="0" fontId="5" fillId="8" borderId="0" xfId="0" applyFont="1" applyFill="1"/>
    <xf numFmtId="164" fontId="6" fillId="9" borderId="0" xfId="0" applyNumberFormat="1" applyFont="1" applyFill="1"/>
    <xf numFmtId="166" fontId="0" fillId="9" borderId="0" xfId="0" applyNumberFormat="1" applyFill="1" applyProtection="1">
      <protection locked="0"/>
    </xf>
    <xf numFmtId="0" fontId="0" fillId="9" borderId="0" xfId="0" applyFill="1" applyProtection="1">
      <protection locked="0"/>
    </xf>
    <xf numFmtId="0" fontId="11" fillId="10" borderId="0" xfId="0" applyFont="1" applyFill="1" applyProtection="1">
      <protection locked="0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E050-6216-4D3A-85F0-474C7D1AA65A}">
  <sheetPr codeName="Sheet1">
    <tabColor rgb="FF00B0F0"/>
  </sheetPr>
  <dimension ref="A1:O21"/>
  <sheetViews>
    <sheetView zoomScale="115" zoomScaleNormal="115" workbookViewId="0">
      <selection activeCell="A4" sqref="A4:B10"/>
    </sheetView>
  </sheetViews>
  <sheetFormatPr defaultRowHeight="14.5" x14ac:dyDescent="0.35"/>
  <cols>
    <col min="1" max="1" width="10.26953125" customWidth="1"/>
    <col min="2" max="2" width="93.7265625" customWidth="1"/>
    <col min="3" max="3" width="6" customWidth="1"/>
    <col min="4" max="4" width="11.7265625" customWidth="1"/>
  </cols>
  <sheetData>
    <row r="1" spans="1:15" x14ac:dyDescent="0.35">
      <c r="A1" s="5" t="s">
        <v>728</v>
      </c>
    </row>
    <row r="3" spans="1:15" x14ac:dyDescent="0.35">
      <c r="A3" s="10" t="s">
        <v>1551</v>
      </c>
      <c r="B3" s="10" t="s">
        <v>1552</v>
      </c>
      <c r="D3" s="52" t="s">
        <v>1791</v>
      </c>
      <c r="E3" s="53"/>
    </row>
    <row r="4" spans="1:15" x14ac:dyDescent="0.35">
      <c r="A4" s="20">
        <v>1</v>
      </c>
      <c r="B4" s="8" t="s">
        <v>730</v>
      </c>
      <c r="D4" s="53"/>
      <c r="E4" s="53"/>
    </row>
    <row r="5" spans="1:15" x14ac:dyDescent="0.35">
      <c r="A5" s="20">
        <v>2</v>
      </c>
      <c r="B5" s="41" t="s">
        <v>1801</v>
      </c>
      <c r="D5" s="53"/>
      <c r="E5" s="53"/>
    </row>
    <row r="6" spans="1:15" x14ac:dyDescent="0.35">
      <c r="A6" s="20">
        <v>3</v>
      </c>
      <c r="B6" s="8" t="s">
        <v>1540</v>
      </c>
      <c r="D6" s="53"/>
      <c r="E6" s="53"/>
      <c r="N6" s="4"/>
    </row>
    <row r="7" spans="1:15" x14ac:dyDescent="0.35">
      <c r="A7" s="20">
        <v>4</v>
      </c>
      <c r="B7" s="43" t="s">
        <v>1553</v>
      </c>
      <c r="O7" s="5"/>
    </row>
    <row r="8" spans="1:15" ht="15" customHeight="1" x14ac:dyDescent="0.35">
      <c r="A8" s="20">
        <v>5</v>
      </c>
      <c r="B8" s="43" t="s">
        <v>1790</v>
      </c>
      <c r="D8" s="54" t="s">
        <v>1792</v>
      </c>
      <c r="E8" s="54"/>
      <c r="O8" s="5"/>
    </row>
    <row r="9" spans="1:15" x14ac:dyDescent="0.35">
      <c r="A9" s="21">
        <v>6</v>
      </c>
      <c r="B9" s="8" t="s">
        <v>1787</v>
      </c>
      <c r="D9" s="54"/>
      <c r="E9" s="54"/>
      <c r="O9" s="5"/>
    </row>
    <row r="10" spans="1:15" x14ac:dyDescent="0.35">
      <c r="A10" s="22" t="s">
        <v>1788</v>
      </c>
      <c r="B10" s="8" t="s">
        <v>1789</v>
      </c>
      <c r="D10" s="54"/>
      <c r="E10" s="54"/>
      <c r="O10" s="5"/>
    </row>
    <row r="11" spans="1:15" x14ac:dyDescent="0.35">
      <c r="D11" s="54"/>
      <c r="E11" s="54"/>
      <c r="O11" s="5"/>
    </row>
    <row r="13" spans="1:15" x14ac:dyDescent="0.35">
      <c r="D13" s="8" t="s">
        <v>1550</v>
      </c>
      <c r="E13" s="8" t="s">
        <v>1539</v>
      </c>
    </row>
    <row r="14" spans="1:15" x14ac:dyDescent="0.35">
      <c r="D14" s="9" t="s">
        <v>32</v>
      </c>
      <c r="E14" s="8" t="s">
        <v>732</v>
      </c>
    </row>
    <row r="15" spans="1:15" x14ac:dyDescent="0.35">
      <c r="D15" s="9" t="s">
        <v>41</v>
      </c>
      <c r="E15" s="8" t="s">
        <v>733</v>
      </c>
    </row>
    <row r="16" spans="1:15" x14ac:dyDescent="0.35">
      <c r="D16" s="9" t="s">
        <v>136</v>
      </c>
      <c r="E16" s="8" t="s">
        <v>734</v>
      </c>
    </row>
    <row r="18" spans="4:5" x14ac:dyDescent="0.35">
      <c r="D18" s="40" t="s">
        <v>1793</v>
      </c>
    </row>
    <row r="19" spans="4:5" x14ac:dyDescent="0.35">
      <c r="D19" s="39" t="s">
        <v>1798</v>
      </c>
      <c r="E19" s="8" t="s">
        <v>1539</v>
      </c>
    </row>
    <row r="20" spans="4:5" x14ac:dyDescent="0.35">
      <c r="D20" s="39" t="s">
        <v>1794</v>
      </c>
      <c r="E20" s="39" t="s">
        <v>1795</v>
      </c>
    </row>
    <row r="21" spans="4:5" x14ac:dyDescent="0.35">
      <c r="D21" s="39" t="s">
        <v>1796</v>
      </c>
      <c r="E21" s="39" t="s">
        <v>1797</v>
      </c>
    </row>
  </sheetData>
  <mergeCells count="2">
    <mergeCell ref="D3:E6"/>
    <mergeCell ref="D8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B1000"/>
  <sheetViews>
    <sheetView zoomScale="124" zoomScaleNormal="180" workbookViewId="0">
      <selection sqref="A1:B18"/>
    </sheetView>
  </sheetViews>
  <sheetFormatPr defaultColWidth="14.453125" defaultRowHeight="15" customHeight="1" x14ac:dyDescent="0.35"/>
  <cols>
    <col min="1" max="1" width="18.81640625" customWidth="1"/>
    <col min="2" max="2" width="68.26953125" bestFit="1" customWidth="1"/>
    <col min="3" max="6" width="8.7265625" customWidth="1"/>
  </cols>
  <sheetData>
    <row r="1" spans="1:2" ht="14.5" x14ac:dyDescent="0.35">
      <c r="A1" s="1" t="s">
        <v>0</v>
      </c>
      <c r="B1" s="2" t="s">
        <v>1</v>
      </c>
    </row>
    <row r="2" spans="1:2" ht="14.5" x14ac:dyDescent="0.35">
      <c r="A2" s="6" t="s">
        <v>731</v>
      </c>
      <c r="B2" s="6" t="s">
        <v>2</v>
      </c>
    </row>
    <row r="3" spans="1:2" ht="14.5" x14ac:dyDescent="0.35">
      <c r="A3" s="3" t="s">
        <v>3</v>
      </c>
      <c r="B3" s="3" t="s">
        <v>4</v>
      </c>
    </row>
    <row r="4" spans="1:2" ht="14.5" x14ac:dyDescent="0.35">
      <c r="A4" s="3" t="s">
        <v>5</v>
      </c>
      <c r="B4" s="3" t="s">
        <v>6</v>
      </c>
    </row>
    <row r="5" spans="1:2" ht="14.5" x14ac:dyDescent="0.35">
      <c r="A5" s="3" t="s">
        <v>7</v>
      </c>
      <c r="B5" s="3" t="s">
        <v>8</v>
      </c>
    </row>
    <row r="6" spans="1:2" ht="14.5" x14ac:dyDescent="0.35">
      <c r="A6" s="3" t="s">
        <v>9</v>
      </c>
      <c r="B6" s="3" t="s">
        <v>10</v>
      </c>
    </row>
    <row r="7" spans="1:2" ht="14.5" x14ac:dyDescent="0.35">
      <c r="A7" s="3" t="s">
        <v>11</v>
      </c>
      <c r="B7" s="3" t="s">
        <v>12</v>
      </c>
    </row>
    <row r="8" spans="1:2" ht="14.5" x14ac:dyDescent="0.35">
      <c r="A8" s="3" t="s">
        <v>13</v>
      </c>
      <c r="B8" s="3" t="s">
        <v>14</v>
      </c>
    </row>
    <row r="9" spans="1:2" ht="14.5" x14ac:dyDescent="0.35">
      <c r="A9" s="3" t="s">
        <v>15</v>
      </c>
      <c r="B9" s="3" t="s">
        <v>16</v>
      </c>
    </row>
    <row r="10" spans="1:2" ht="14.5" x14ac:dyDescent="0.35">
      <c r="A10" s="3" t="s">
        <v>17</v>
      </c>
      <c r="B10" s="3" t="s">
        <v>18</v>
      </c>
    </row>
    <row r="11" spans="1:2" ht="14.5" x14ac:dyDescent="0.35">
      <c r="A11" s="3" t="s">
        <v>19</v>
      </c>
      <c r="B11" s="3" t="s">
        <v>20</v>
      </c>
    </row>
    <row r="12" spans="1:2" ht="14.5" x14ac:dyDescent="0.35">
      <c r="A12" s="3" t="s">
        <v>21</v>
      </c>
      <c r="B12" s="3" t="s">
        <v>22</v>
      </c>
    </row>
    <row r="13" spans="1:2" ht="14.5" x14ac:dyDescent="0.35">
      <c r="A13" s="3" t="s">
        <v>23</v>
      </c>
      <c r="B13" s="3" t="s">
        <v>1799</v>
      </c>
    </row>
    <row r="14" spans="1:2" ht="14.5" x14ac:dyDescent="0.35">
      <c r="A14" s="3" t="s">
        <v>24</v>
      </c>
      <c r="B14" s="3" t="s">
        <v>25</v>
      </c>
    </row>
    <row r="15" spans="1:2" ht="14.5" x14ac:dyDescent="0.35">
      <c r="A15" s="3" t="s">
        <v>26</v>
      </c>
      <c r="B15" s="3" t="s">
        <v>1802</v>
      </c>
    </row>
    <row r="16" spans="1:2" ht="14.5" x14ac:dyDescent="0.35">
      <c r="A16" s="3" t="s">
        <v>27</v>
      </c>
      <c r="B16" s="3" t="s">
        <v>28</v>
      </c>
    </row>
    <row r="17" spans="1:2" ht="14.5" x14ac:dyDescent="0.35">
      <c r="A17" s="3" t="s">
        <v>29</v>
      </c>
      <c r="B17" s="3" t="s">
        <v>1800</v>
      </c>
    </row>
    <row r="18" spans="1:2" ht="14.5" x14ac:dyDescent="0.35">
      <c r="A18" s="7" t="s">
        <v>1545</v>
      </c>
      <c r="B18" s="7" t="s">
        <v>1549</v>
      </c>
    </row>
    <row r="19" spans="1:2" ht="14.5" x14ac:dyDescent="0.35">
      <c r="B19" s="4"/>
    </row>
    <row r="20" spans="1:2" ht="14.5" x14ac:dyDescent="0.35"/>
    <row r="21" spans="1:2" ht="15.75" customHeight="1" x14ac:dyDescent="0.35"/>
    <row r="22" spans="1:2" ht="15.75" customHeight="1" x14ac:dyDescent="0.35">
      <c r="A22" s="4"/>
    </row>
    <row r="23" spans="1:2" ht="15.75" customHeight="1" x14ac:dyDescent="0.35">
      <c r="A23" s="4"/>
    </row>
    <row r="24" spans="1:2" ht="15.75" customHeight="1" x14ac:dyDescent="0.35">
      <c r="A24" s="4"/>
    </row>
    <row r="25" spans="1:2" ht="15.75" customHeight="1" x14ac:dyDescent="0.35">
      <c r="A25" s="4"/>
    </row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/>
  </sheetPr>
  <dimension ref="A1:X1042"/>
  <sheetViews>
    <sheetView tabSelected="1" topLeftCell="M2" zoomScale="71" zoomScaleNormal="100" workbookViewId="0">
      <selection activeCell="H48" sqref="H48"/>
    </sheetView>
  </sheetViews>
  <sheetFormatPr defaultColWidth="14.453125" defaultRowHeight="15" customHeight="1" x14ac:dyDescent="0.35"/>
  <cols>
    <col min="1" max="1" width="21.90625" style="34" bestFit="1" customWidth="1"/>
    <col min="2" max="2" width="13.26953125" style="38" bestFit="1" customWidth="1"/>
    <col min="3" max="3" width="13.26953125" style="34" bestFit="1" customWidth="1"/>
    <col min="4" max="4" width="21" style="34" bestFit="1" customWidth="1"/>
    <col min="5" max="5" width="10" style="34" bestFit="1" customWidth="1"/>
    <col min="6" max="6" width="13.08984375" style="34" bestFit="1" customWidth="1"/>
    <col min="7" max="7" width="23.7265625" style="34" bestFit="1" customWidth="1"/>
    <col min="8" max="8" width="74.36328125" style="34" bestFit="1" customWidth="1"/>
    <col min="9" max="9" width="21.54296875" style="34" bestFit="1" customWidth="1"/>
    <col min="10" max="10" width="12.08984375" style="38" bestFit="1" customWidth="1"/>
    <col min="11" max="11" width="17.26953125" style="38" bestFit="1" customWidth="1"/>
    <col min="12" max="12" width="13.26953125" style="38" bestFit="1" customWidth="1"/>
    <col min="13" max="14" width="19.7265625" style="37" bestFit="1" customWidth="1"/>
    <col min="15" max="15" width="25.81640625" style="37" bestFit="1" customWidth="1"/>
    <col min="16" max="16" width="17.7265625" style="37" bestFit="1" customWidth="1"/>
    <col min="17" max="17" width="17.453125" style="34" bestFit="1" customWidth="1"/>
    <col min="18" max="18" width="17.453125" style="37" bestFit="1" customWidth="1"/>
    <col min="19" max="19" width="13.6328125" style="34" bestFit="1" customWidth="1"/>
    <col min="20" max="20" width="17.453125" style="34" bestFit="1" customWidth="1"/>
    <col min="21" max="21" width="17.08984375" style="34" bestFit="1" customWidth="1"/>
    <col min="22" max="22" width="32" style="34" bestFit="1" customWidth="1"/>
    <col min="23" max="23" width="18.08984375" style="34" bestFit="1" customWidth="1"/>
    <col min="24" max="24" width="17.08984375" style="34" bestFit="1" customWidth="1"/>
    <col min="25" max="16384" width="14.453125" style="34"/>
  </cols>
  <sheetData>
    <row r="1" spans="1:24" ht="26" x14ac:dyDescent="0.6">
      <c r="A1" s="30" t="s">
        <v>30</v>
      </c>
      <c r="B1" s="31"/>
      <c r="C1" s="32"/>
      <c r="D1" s="32"/>
      <c r="E1" s="32"/>
      <c r="F1" s="32"/>
      <c r="G1" s="32"/>
      <c r="H1" s="32"/>
      <c r="I1" s="32"/>
      <c r="J1" s="31"/>
      <c r="K1" s="31"/>
      <c r="L1" s="31"/>
      <c r="M1" s="33"/>
      <c r="N1" s="33"/>
      <c r="O1" s="33"/>
      <c r="P1" s="33"/>
      <c r="Q1" s="32"/>
      <c r="R1" s="33"/>
      <c r="S1" s="32"/>
      <c r="T1" s="32"/>
      <c r="U1" s="32"/>
      <c r="V1" s="32"/>
    </row>
    <row r="2" spans="1:24" ht="14.5" x14ac:dyDescent="0.35">
      <c r="B2" s="35"/>
      <c r="J2" s="35"/>
      <c r="K2" s="35"/>
      <c r="L2" s="35"/>
      <c r="M2" s="36"/>
      <c r="N2" s="36">
        <f>N4-M4/N4</f>
        <v>94499.390476190471</v>
      </c>
      <c r="O2" s="36"/>
      <c r="P2" s="36"/>
      <c r="R2" s="36"/>
    </row>
    <row r="3" spans="1:24" ht="14.5" x14ac:dyDescent="0.35">
      <c r="A3" s="24" t="s">
        <v>731</v>
      </c>
      <c r="B3" s="23" t="s">
        <v>3</v>
      </c>
      <c r="C3" s="24" t="s">
        <v>5</v>
      </c>
      <c r="D3" s="24" t="s">
        <v>7</v>
      </c>
      <c r="E3" s="24" t="s">
        <v>9</v>
      </c>
      <c r="F3" s="24" t="s">
        <v>1805</v>
      </c>
      <c r="G3" s="24" t="s">
        <v>11</v>
      </c>
      <c r="H3" s="24" t="s">
        <v>13</v>
      </c>
      <c r="I3" s="24" t="s">
        <v>15</v>
      </c>
      <c r="J3" s="23" t="s">
        <v>17</v>
      </c>
      <c r="K3" s="23" t="s">
        <v>1806</v>
      </c>
      <c r="L3" s="23" t="s">
        <v>1807</v>
      </c>
      <c r="M3" s="25" t="s">
        <v>19</v>
      </c>
      <c r="N3" s="25" t="s">
        <v>21</v>
      </c>
      <c r="O3" s="25" t="s">
        <v>1808</v>
      </c>
      <c r="P3" s="25" t="s">
        <v>23</v>
      </c>
      <c r="Q3" s="24" t="s">
        <v>24</v>
      </c>
      <c r="R3" s="25" t="s">
        <v>26</v>
      </c>
      <c r="S3" s="24" t="s">
        <v>27</v>
      </c>
      <c r="T3" s="25" t="s">
        <v>29</v>
      </c>
      <c r="U3" s="24" t="s">
        <v>1545</v>
      </c>
      <c r="V3" s="51"/>
    </row>
    <row r="4" spans="1:24" ht="14.5" x14ac:dyDescent="0.35">
      <c r="A4" s="47" t="str">
        <f>_xlfn.CONCAT(F4,"-",LEFT(D4,1),MID(D4,FIND(" ",D4)+1,1),"-",G4,"-",C4)</f>
        <v>BDG-ZP-E1036-2017</v>
      </c>
      <c r="B4" s="26">
        <v>42856</v>
      </c>
      <c r="C4" s="42" cm="1">
        <f t="array" ref="C4:C1003">YEAR(B4:B1003)</f>
        <v>2017</v>
      </c>
      <c r="D4" s="27" t="s">
        <v>350</v>
      </c>
      <c r="E4" s="27" t="s">
        <v>136</v>
      </c>
      <c r="F4" s="42" t="str" cm="1">
        <f t="array" ref="F4">_xlfn.IFS(E4="Bandung","BDG",E4="Surabaya","SBY",E4="Jakarta","JKT")</f>
        <v>BDG</v>
      </c>
      <c r="G4" s="27" t="s">
        <v>78</v>
      </c>
      <c r="H4" s="27" t="s">
        <v>142</v>
      </c>
      <c r="I4" s="27" t="s">
        <v>35</v>
      </c>
      <c r="J4" s="26">
        <v>42858</v>
      </c>
      <c r="K4" s="26">
        <v>42799</v>
      </c>
      <c r="L4" s="27">
        <f>K4-B4</f>
        <v>-57</v>
      </c>
      <c r="M4" s="45">
        <v>57600</v>
      </c>
      <c r="N4" s="45">
        <v>94500</v>
      </c>
      <c r="O4" s="27">
        <v>214</v>
      </c>
      <c r="P4" s="46">
        <f>(N4-M4)/N4</f>
        <v>0.39047619047619048</v>
      </c>
      <c r="Q4" s="27">
        <v>32</v>
      </c>
      <c r="R4" s="44">
        <f t="shared" ref="R4:R67" si="0">N4*Q4</f>
        <v>3024000</v>
      </c>
      <c r="S4" s="29">
        <v>0.04</v>
      </c>
      <c r="T4" s="44">
        <f>R4*(1-S4)</f>
        <v>2903040</v>
      </c>
      <c r="U4" s="44">
        <f>T4-(M4*Q4)</f>
        <v>1059840</v>
      </c>
      <c r="V4" s="44"/>
    </row>
    <row r="5" spans="1:24" ht="14.5" x14ac:dyDescent="0.35">
      <c r="A5" s="47" t="str">
        <f t="shared" ref="A5:A68" si="1">_xlfn.CONCAT(F5,"-",LEFT(D5,1),MID(D5,FIND(" ",D5)+1,1),"-",G5,"-",C5)</f>
        <v>BDG-ZP-E1036-2018</v>
      </c>
      <c r="B5" s="26">
        <v>43116</v>
      </c>
      <c r="C5" s="42">
        <v>2018</v>
      </c>
      <c r="D5" s="27" t="s">
        <v>350</v>
      </c>
      <c r="E5" s="27" t="s">
        <v>136</v>
      </c>
      <c r="F5" s="42" t="str" cm="1">
        <f t="array" ref="F5">_xlfn.IFS(E5="Bandung","BDG",E5="Surabaya","SBY",E5="Jakarta","JKT")</f>
        <v>BDG</v>
      </c>
      <c r="G5" s="27" t="s">
        <v>78</v>
      </c>
      <c r="H5" s="27" t="s">
        <v>158</v>
      </c>
      <c r="I5" s="27" t="s">
        <v>73</v>
      </c>
      <c r="J5" s="26" t="s">
        <v>1650</v>
      </c>
      <c r="K5" s="26">
        <v>43118</v>
      </c>
      <c r="L5" s="27">
        <f t="shared" ref="L5:L68" si="2">K5-B5</f>
        <v>2</v>
      </c>
      <c r="M5" s="45">
        <v>302700</v>
      </c>
      <c r="N5" s="45">
        <v>531150</v>
      </c>
      <c r="O5" s="27">
        <v>182</v>
      </c>
      <c r="P5" s="46">
        <f t="shared" ref="P5:P68" si="3">(N5-M5)/N5</f>
        <v>0.43010449025698955</v>
      </c>
      <c r="Q5" s="27">
        <v>5</v>
      </c>
      <c r="R5" s="44">
        <f t="shared" si="0"/>
        <v>2655750</v>
      </c>
      <c r="S5" s="29">
        <v>0</v>
      </c>
      <c r="T5" s="44">
        <f t="shared" ref="T5:T68" si="4">R5*(1-S5)</f>
        <v>2655750</v>
      </c>
      <c r="U5" s="44">
        <f t="shared" ref="U5:U68" si="5">T5-(M5*Q5)</f>
        <v>1142250</v>
      </c>
      <c r="V5" s="44"/>
    </row>
    <row r="6" spans="1:24" ht="14.5" x14ac:dyDescent="0.35">
      <c r="A6" s="47" t="str">
        <f t="shared" si="1"/>
        <v>BDG-ZP-E1036-2019</v>
      </c>
      <c r="B6" s="26">
        <v>43554</v>
      </c>
      <c r="C6" s="42">
        <v>2019</v>
      </c>
      <c r="D6" s="27" t="s">
        <v>350</v>
      </c>
      <c r="E6" s="27" t="s">
        <v>136</v>
      </c>
      <c r="F6" s="42" t="str" cm="1">
        <f t="array" ref="F6">_xlfn.IFS(E6="Bandung","BDG",E6="Surabaya","SBY",E6="Jakarta","JKT")</f>
        <v>BDG</v>
      </c>
      <c r="G6" s="27" t="s">
        <v>78</v>
      </c>
      <c r="H6" s="27" t="s">
        <v>276</v>
      </c>
      <c r="I6" s="27" t="s">
        <v>35</v>
      </c>
      <c r="J6" s="26">
        <v>43469</v>
      </c>
      <c r="K6" s="26">
        <v>43556</v>
      </c>
      <c r="L6" s="27">
        <f t="shared" si="2"/>
        <v>2</v>
      </c>
      <c r="M6" s="45">
        <v>224250</v>
      </c>
      <c r="N6" s="45">
        <v>521399.99999999994</v>
      </c>
      <c r="O6" s="27">
        <v>323</v>
      </c>
      <c r="P6" s="46">
        <f t="shared" si="3"/>
        <v>0.56990794016110469</v>
      </c>
      <c r="Q6" s="27">
        <v>46</v>
      </c>
      <c r="R6" s="44">
        <f t="shared" si="0"/>
        <v>23984399.999999996</v>
      </c>
      <c r="S6" s="29">
        <v>0.09</v>
      </c>
      <c r="T6" s="44">
        <f t="shared" si="4"/>
        <v>21825803.999999996</v>
      </c>
      <c r="U6" s="44">
        <f t="shared" si="5"/>
        <v>11510303.999999996</v>
      </c>
      <c r="V6" s="44"/>
    </row>
    <row r="7" spans="1:24" ht="14.5" x14ac:dyDescent="0.35">
      <c r="A7" s="47" t="str">
        <f t="shared" si="1"/>
        <v>BDG-ZP-E1036-2019</v>
      </c>
      <c r="B7" s="26">
        <v>43554</v>
      </c>
      <c r="C7" s="42">
        <v>2019</v>
      </c>
      <c r="D7" s="27" t="s">
        <v>350</v>
      </c>
      <c r="E7" s="27" t="s">
        <v>136</v>
      </c>
      <c r="F7" s="42" t="str" cm="1">
        <f t="array" ref="F7">_xlfn.IFS(E7="Bandung","BDG",E7="Surabaya","SBY",E7="Jakarta","JKT")</f>
        <v>BDG</v>
      </c>
      <c r="G7" s="27" t="s">
        <v>78</v>
      </c>
      <c r="H7" s="27" t="s">
        <v>99</v>
      </c>
      <c r="I7" s="27" t="s">
        <v>35</v>
      </c>
      <c r="J7" s="26">
        <v>43469</v>
      </c>
      <c r="K7" s="26">
        <v>43556</v>
      </c>
      <c r="L7" s="27">
        <f t="shared" si="2"/>
        <v>2</v>
      </c>
      <c r="M7" s="45">
        <v>95850</v>
      </c>
      <c r="N7" s="45">
        <v>299700</v>
      </c>
      <c r="O7" s="27">
        <v>315</v>
      </c>
      <c r="P7" s="46">
        <f t="shared" si="3"/>
        <v>0.68018018018018023</v>
      </c>
      <c r="Q7" s="27">
        <v>18</v>
      </c>
      <c r="R7" s="44">
        <f t="shared" si="0"/>
        <v>5394600</v>
      </c>
      <c r="S7" s="29">
        <v>0.04</v>
      </c>
      <c r="T7" s="44">
        <f t="shared" si="4"/>
        <v>5178816</v>
      </c>
      <c r="U7" s="44">
        <f t="shared" si="5"/>
        <v>3453516</v>
      </c>
      <c r="V7" s="44"/>
    </row>
    <row r="8" spans="1:24" ht="14.5" x14ac:dyDescent="0.35">
      <c r="A8" s="47" t="str">
        <f t="shared" si="1"/>
        <v>SBY-ZS-E1031-2016</v>
      </c>
      <c r="B8" s="26">
        <v>42665</v>
      </c>
      <c r="C8" s="42">
        <v>2016</v>
      </c>
      <c r="D8" s="27" t="s">
        <v>197</v>
      </c>
      <c r="E8" s="27" t="s">
        <v>41</v>
      </c>
      <c r="F8" s="42" t="str" cm="1">
        <f t="array" ref="F8">_xlfn.IFS(E8="Bandung","BDG",E8="Surabaya","SBY",E8="Jakarta","JKT")</f>
        <v>SBY</v>
      </c>
      <c r="G8" s="27" t="s">
        <v>48</v>
      </c>
      <c r="H8" s="27" t="s">
        <v>198</v>
      </c>
      <c r="I8" s="27" t="s">
        <v>35</v>
      </c>
      <c r="J8" s="26" t="s">
        <v>1574</v>
      </c>
      <c r="K8" s="26">
        <v>42665</v>
      </c>
      <c r="L8" s="27">
        <f>K8-B8</f>
        <v>0</v>
      </c>
      <c r="M8" s="45">
        <v>41100</v>
      </c>
      <c r="N8" s="45">
        <v>67350</v>
      </c>
      <c r="O8" s="27">
        <v>76</v>
      </c>
      <c r="P8" s="46">
        <f t="shared" si="3"/>
        <v>0.38975501113585748</v>
      </c>
      <c r="Q8" s="27">
        <v>11</v>
      </c>
      <c r="R8" s="44">
        <f t="shared" si="0"/>
        <v>740850</v>
      </c>
      <c r="S8" s="29">
        <v>0.08</v>
      </c>
      <c r="T8" s="44">
        <f t="shared" si="4"/>
        <v>681582</v>
      </c>
      <c r="U8" s="44">
        <f t="shared" si="5"/>
        <v>229482</v>
      </c>
      <c r="V8" s="44"/>
    </row>
    <row r="9" spans="1:24" ht="14.5" x14ac:dyDescent="0.35">
      <c r="A9" s="47" t="str">
        <f t="shared" si="1"/>
        <v>JKT-ZM-E1028-2020</v>
      </c>
      <c r="B9" s="26">
        <v>43912</v>
      </c>
      <c r="C9" s="42">
        <v>2020</v>
      </c>
      <c r="D9" s="27" t="s">
        <v>727</v>
      </c>
      <c r="E9" s="27" t="s">
        <v>32</v>
      </c>
      <c r="F9" s="42" t="str" cm="1">
        <f t="array" ref="F9">_xlfn.IFS(E9="Bandung","BDG",E9="Surabaya","SBY",E9="Jakarta","JKT")</f>
        <v>JKT</v>
      </c>
      <c r="G9" s="27" t="s">
        <v>33</v>
      </c>
      <c r="H9" s="27" t="s">
        <v>276</v>
      </c>
      <c r="I9" s="27" t="s">
        <v>35</v>
      </c>
      <c r="J9" s="26" t="s">
        <v>1782</v>
      </c>
      <c r="K9" s="26">
        <v>43914</v>
      </c>
      <c r="L9" s="27">
        <f t="shared" si="2"/>
        <v>2</v>
      </c>
      <c r="M9" s="45">
        <v>224250</v>
      </c>
      <c r="N9" s="45">
        <v>521399.99999999994</v>
      </c>
      <c r="O9" s="27">
        <v>277</v>
      </c>
      <c r="P9" s="46">
        <f t="shared" si="3"/>
        <v>0.56990794016110469</v>
      </c>
      <c r="Q9" s="27">
        <v>10</v>
      </c>
      <c r="R9" s="44">
        <f t="shared" si="0"/>
        <v>5213999.9999999991</v>
      </c>
      <c r="S9" s="29">
        <v>0.06</v>
      </c>
      <c r="T9" s="44">
        <f t="shared" si="4"/>
        <v>4901159.9999999991</v>
      </c>
      <c r="U9" s="44">
        <f t="shared" si="5"/>
        <v>2658659.9999999991</v>
      </c>
      <c r="V9" s="44"/>
      <c r="W9" s="43" t="s">
        <v>1550</v>
      </c>
      <c r="X9" s="8" t="s">
        <v>1539</v>
      </c>
    </row>
    <row r="10" spans="1:24" ht="14.5" x14ac:dyDescent="0.35">
      <c r="A10" s="47" t="str">
        <f t="shared" si="1"/>
        <v>SBY-ZA-E1031-2018</v>
      </c>
      <c r="B10" s="26">
        <v>43427</v>
      </c>
      <c r="C10" s="42">
        <v>2018</v>
      </c>
      <c r="D10" s="27" t="s">
        <v>617</v>
      </c>
      <c r="E10" s="27" t="s">
        <v>41</v>
      </c>
      <c r="F10" s="42" t="str" cm="1">
        <f t="array" ref="F10">_xlfn.IFS(E10="Bandung","BDG",E10="Surabaya","SBY",E10="Jakarta","JKT")</f>
        <v>SBY</v>
      </c>
      <c r="G10" s="27" t="s">
        <v>48</v>
      </c>
      <c r="H10" s="27" t="s">
        <v>105</v>
      </c>
      <c r="I10" s="27" t="s">
        <v>35</v>
      </c>
      <c r="J10" s="26">
        <v>43428</v>
      </c>
      <c r="K10" s="26">
        <v>43428</v>
      </c>
      <c r="L10" s="27">
        <f t="shared" si="2"/>
        <v>1</v>
      </c>
      <c r="M10" s="45">
        <v>151050</v>
      </c>
      <c r="N10" s="45">
        <v>239700</v>
      </c>
      <c r="O10" s="27">
        <v>396</v>
      </c>
      <c r="P10" s="46">
        <f t="shared" si="3"/>
        <v>0.36983729662077597</v>
      </c>
      <c r="Q10" s="27">
        <v>7</v>
      </c>
      <c r="R10" s="44">
        <f t="shared" si="0"/>
        <v>1677900</v>
      </c>
      <c r="S10" s="29">
        <v>0.04</v>
      </c>
      <c r="T10" s="44">
        <f t="shared" si="4"/>
        <v>1610784</v>
      </c>
      <c r="U10" s="44">
        <f t="shared" si="5"/>
        <v>553434</v>
      </c>
      <c r="V10" s="44"/>
      <c r="W10" s="9" t="s">
        <v>32</v>
      </c>
      <c r="X10" s="8" t="s">
        <v>732</v>
      </c>
    </row>
    <row r="11" spans="1:24" ht="14.5" x14ac:dyDescent="0.35">
      <c r="A11" s="47" t="str">
        <f t="shared" si="1"/>
        <v>SBY-YW-E1034-2016</v>
      </c>
      <c r="B11" s="26">
        <v>42630</v>
      </c>
      <c r="C11" s="42">
        <v>2016</v>
      </c>
      <c r="D11" s="27" t="s">
        <v>163</v>
      </c>
      <c r="E11" s="27" t="s">
        <v>41</v>
      </c>
      <c r="F11" s="42" t="str" cm="1">
        <f t="array" ref="F11">_xlfn.IFS(E11="Bandung","BDG",E11="Surabaya","SBY",E11="Jakarta","JKT")</f>
        <v>SBY</v>
      </c>
      <c r="G11" s="27" t="s">
        <v>65</v>
      </c>
      <c r="H11" s="27" t="s">
        <v>144</v>
      </c>
      <c r="I11" s="27" t="s">
        <v>35</v>
      </c>
      <c r="J11" s="26" t="s">
        <v>1567</v>
      </c>
      <c r="K11" s="26">
        <v>42630</v>
      </c>
      <c r="L11" s="27">
        <f t="shared" si="2"/>
        <v>0</v>
      </c>
      <c r="M11" s="45">
        <v>2347500</v>
      </c>
      <c r="N11" s="45">
        <v>4514550</v>
      </c>
      <c r="O11" s="27">
        <v>191</v>
      </c>
      <c r="P11" s="46">
        <f t="shared" si="3"/>
        <v>0.48001461939728213</v>
      </c>
      <c r="Q11" s="27">
        <v>38</v>
      </c>
      <c r="R11" s="44">
        <f t="shared" si="0"/>
        <v>171552900</v>
      </c>
      <c r="S11" s="29">
        <v>0.09</v>
      </c>
      <c r="T11" s="44">
        <f t="shared" si="4"/>
        <v>156113139</v>
      </c>
      <c r="U11" s="44">
        <f t="shared" si="5"/>
        <v>66908139</v>
      </c>
      <c r="V11" s="44"/>
      <c r="W11" s="9" t="s">
        <v>41</v>
      </c>
      <c r="X11" s="8" t="s">
        <v>733</v>
      </c>
    </row>
    <row r="12" spans="1:24" ht="14.5" x14ac:dyDescent="0.35">
      <c r="A12" s="47" t="str">
        <f t="shared" si="1"/>
        <v>SBY-YW-E1034-2017</v>
      </c>
      <c r="B12" s="26">
        <v>42976</v>
      </c>
      <c r="C12" s="42">
        <v>2017</v>
      </c>
      <c r="D12" s="27" t="s">
        <v>163</v>
      </c>
      <c r="E12" s="27" t="s">
        <v>41</v>
      </c>
      <c r="F12" s="42" t="str" cm="1">
        <f t="array" ref="F12">_xlfn.IFS(E12="Bandung","BDG",E12="Surabaya","SBY",E12="Jakarta","JKT")</f>
        <v>SBY</v>
      </c>
      <c r="G12" s="27" t="s">
        <v>65</v>
      </c>
      <c r="H12" s="27" t="s">
        <v>251</v>
      </c>
      <c r="I12" s="27" t="s">
        <v>73</v>
      </c>
      <c r="J12" s="26" t="s">
        <v>1626</v>
      </c>
      <c r="K12" s="26">
        <v>42977</v>
      </c>
      <c r="L12" s="27">
        <f t="shared" si="2"/>
        <v>1</v>
      </c>
      <c r="M12" s="45">
        <v>77850</v>
      </c>
      <c r="N12" s="45">
        <v>194700</v>
      </c>
      <c r="O12" s="27">
        <v>409</v>
      </c>
      <c r="P12" s="46">
        <f t="shared" si="3"/>
        <v>0.60015408320493069</v>
      </c>
      <c r="Q12" s="27">
        <v>20</v>
      </c>
      <c r="R12" s="44">
        <f t="shared" si="0"/>
        <v>3894000</v>
      </c>
      <c r="S12" s="29">
        <v>0.04</v>
      </c>
      <c r="T12" s="44">
        <f t="shared" si="4"/>
        <v>3738240</v>
      </c>
      <c r="U12" s="44">
        <f t="shared" si="5"/>
        <v>2181240</v>
      </c>
      <c r="V12" s="44"/>
      <c r="W12" s="9" t="s">
        <v>136</v>
      </c>
      <c r="X12" s="8" t="s">
        <v>734</v>
      </c>
    </row>
    <row r="13" spans="1:24" ht="14.5" x14ac:dyDescent="0.35">
      <c r="A13" s="47" t="str">
        <f t="shared" si="1"/>
        <v>SBY-YW-E1034-2018</v>
      </c>
      <c r="B13" s="26">
        <v>43317</v>
      </c>
      <c r="C13" s="42">
        <v>2018</v>
      </c>
      <c r="D13" s="27" t="s">
        <v>163</v>
      </c>
      <c r="E13" s="27" t="s">
        <v>41</v>
      </c>
      <c r="F13" s="42" t="str" cm="1">
        <f t="array" ref="F13">_xlfn.IFS(E13="Bandung","BDG",E13="Surabaya","SBY",E13="Jakarta","JKT")</f>
        <v>SBY</v>
      </c>
      <c r="G13" s="27" t="s">
        <v>65</v>
      </c>
      <c r="H13" s="27" t="s">
        <v>363</v>
      </c>
      <c r="I13" s="27" t="s">
        <v>236</v>
      </c>
      <c r="J13" s="26">
        <v>43317</v>
      </c>
      <c r="K13" s="26">
        <v>43228</v>
      </c>
      <c r="L13" s="27">
        <f t="shared" si="2"/>
        <v>-89</v>
      </c>
      <c r="M13" s="45">
        <v>5669850</v>
      </c>
      <c r="N13" s="45">
        <v>8999850</v>
      </c>
      <c r="O13" s="27">
        <v>334</v>
      </c>
      <c r="P13" s="46">
        <f t="shared" si="3"/>
        <v>0.37000616676944614</v>
      </c>
      <c r="Q13" s="27">
        <v>50</v>
      </c>
      <c r="R13" s="44">
        <f t="shared" si="0"/>
        <v>449992500</v>
      </c>
      <c r="S13" s="29">
        <v>0.09</v>
      </c>
      <c r="T13" s="44">
        <f t="shared" si="4"/>
        <v>409493175</v>
      </c>
      <c r="U13" s="44">
        <f t="shared" si="5"/>
        <v>126000675</v>
      </c>
      <c r="V13" s="44"/>
    </row>
    <row r="14" spans="1:24" ht="14.5" x14ac:dyDescent="0.35">
      <c r="A14" s="47" t="str">
        <f t="shared" si="1"/>
        <v>SBY-YP-E1033-2016</v>
      </c>
      <c r="B14" s="26">
        <v>42608</v>
      </c>
      <c r="C14" s="42">
        <v>2016</v>
      </c>
      <c r="D14" s="27" t="s">
        <v>124</v>
      </c>
      <c r="E14" s="27" t="s">
        <v>41</v>
      </c>
      <c r="F14" s="42" t="str" cm="1">
        <f t="array" ref="F14">_xlfn.IFS(E14="Bandung","BDG",E14="Surabaya","SBY",E14="Jakarta","JKT")</f>
        <v>SBY</v>
      </c>
      <c r="G14" s="27" t="s">
        <v>60</v>
      </c>
      <c r="H14" s="27" t="s">
        <v>125</v>
      </c>
      <c r="I14" s="27" t="s">
        <v>39</v>
      </c>
      <c r="J14" s="26" t="s">
        <v>1564</v>
      </c>
      <c r="K14" s="26">
        <v>42610</v>
      </c>
      <c r="L14" s="27">
        <f t="shared" si="2"/>
        <v>2</v>
      </c>
      <c r="M14" s="45">
        <v>323400</v>
      </c>
      <c r="N14" s="45">
        <v>548250</v>
      </c>
      <c r="O14" s="27">
        <v>256</v>
      </c>
      <c r="P14" s="46">
        <f t="shared" si="3"/>
        <v>0.41012311901504789</v>
      </c>
      <c r="Q14" s="27">
        <v>45</v>
      </c>
      <c r="R14" s="44">
        <f t="shared" si="0"/>
        <v>24671250</v>
      </c>
      <c r="S14" s="29">
        <v>0.1</v>
      </c>
      <c r="T14" s="44">
        <f t="shared" si="4"/>
        <v>22204125</v>
      </c>
      <c r="U14" s="44">
        <f t="shared" si="5"/>
        <v>7651125</v>
      </c>
      <c r="V14" s="44"/>
      <c r="W14" s="39" t="s">
        <v>1798</v>
      </c>
      <c r="X14" s="8" t="s">
        <v>1539</v>
      </c>
    </row>
    <row r="15" spans="1:24" ht="14.5" x14ac:dyDescent="0.35">
      <c r="A15" s="47" t="str">
        <f t="shared" si="1"/>
        <v>SBY-YN-E1037-2018</v>
      </c>
      <c r="B15" s="26">
        <v>43225</v>
      </c>
      <c r="C15" s="42">
        <v>2018</v>
      </c>
      <c r="D15" s="27" t="s">
        <v>537</v>
      </c>
      <c r="E15" s="27" t="s">
        <v>41</v>
      </c>
      <c r="F15" s="42" t="str" cm="1">
        <f t="array" ref="F15">_xlfn.IFS(E15="Bandung","BDG",E15="Surabaya","SBY",E15="Jakarta","JKT")</f>
        <v>SBY</v>
      </c>
      <c r="G15" s="27" t="s">
        <v>83</v>
      </c>
      <c r="H15" s="27" t="s">
        <v>148</v>
      </c>
      <c r="I15" s="27" t="s">
        <v>35</v>
      </c>
      <c r="J15" s="26">
        <v>43227</v>
      </c>
      <c r="K15" s="26">
        <v>43286</v>
      </c>
      <c r="L15" s="27">
        <f t="shared" si="2"/>
        <v>61</v>
      </c>
      <c r="M15" s="45">
        <v>33750</v>
      </c>
      <c r="N15" s="45">
        <v>55350</v>
      </c>
      <c r="O15" s="27">
        <v>283</v>
      </c>
      <c r="P15" s="46">
        <f t="shared" si="3"/>
        <v>0.3902439024390244</v>
      </c>
      <c r="Q15" s="27">
        <v>13</v>
      </c>
      <c r="R15" s="44">
        <f t="shared" si="0"/>
        <v>719550</v>
      </c>
      <c r="S15" s="29">
        <v>0.05</v>
      </c>
      <c r="T15" s="44">
        <f t="shared" si="4"/>
        <v>683572.5</v>
      </c>
      <c r="U15" s="44">
        <f t="shared" si="5"/>
        <v>244822.5</v>
      </c>
      <c r="V15" s="44"/>
      <c r="W15" s="39" t="s">
        <v>1794</v>
      </c>
      <c r="X15" s="39" t="s">
        <v>1795</v>
      </c>
    </row>
    <row r="16" spans="1:24" ht="14.5" x14ac:dyDescent="0.35">
      <c r="A16" s="47" t="str">
        <f t="shared" si="1"/>
        <v>BDG-YR-E1033-2017</v>
      </c>
      <c r="B16" s="26">
        <v>42783</v>
      </c>
      <c r="C16" s="42">
        <v>2017</v>
      </c>
      <c r="D16" s="27" t="s">
        <v>302</v>
      </c>
      <c r="E16" s="27" t="s">
        <v>136</v>
      </c>
      <c r="F16" s="42" t="str" cm="1">
        <f t="array" ref="F16">_xlfn.IFS(E16="Bandung","BDG",E16="Surabaya","SBY",E16="Jakarta","JKT")</f>
        <v>BDG</v>
      </c>
      <c r="G16" s="27" t="s">
        <v>60</v>
      </c>
      <c r="H16" s="27" t="s">
        <v>303</v>
      </c>
      <c r="I16" s="27" t="s">
        <v>35</v>
      </c>
      <c r="J16" s="26">
        <v>42785</v>
      </c>
      <c r="K16" s="26">
        <v>42785</v>
      </c>
      <c r="L16" s="27">
        <f t="shared" si="2"/>
        <v>2</v>
      </c>
      <c r="M16" s="45">
        <v>34350</v>
      </c>
      <c r="N16" s="45">
        <v>55350</v>
      </c>
      <c r="O16" s="27">
        <v>321</v>
      </c>
      <c r="P16" s="46">
        <f t="shared" si="3"/>
        <v>0.37940379403794039</v>
      </c>
      <c r="Q16" s="27">
        <v>42</v>
      </c>
      <c r="R16" s="44">
        <f t="shared" si="0"/>
        <v>2324700</v>
      </c>
      <c r="S16" s="29">
        <v>0.04</v>
      </c>
      <c r="T16" s="44">
        <f t="shared" si="4"/>
        <v>2231712</v>
      </c>
      <c r="U16" s="44">
        <f t="shared" si="5"/>
        <v>789012</v>
      </c>
      <c r="V16" s="44"/>
      <c r="W16" s="39" t="s">
        <v>1796</v>
      </c>
      <c r="X16" s="39" t="s">
        <v>1797</v>
      </c>
    </row>
    <row r="17" spans="1:24" ht="14.5" x14ac:dyDescent="0.35">
      <c r="A17" s="47" t="str">
        <f t="shared" si="1"/>
        <v>BDG-YR-E1033-2017</v>
      </c>
      <c r="B17" s="26">
        <v>43092</v>
      </c>
      <c r="C17" s="42">
        <v>2017</v>
      </c>
      <c r="D17" s="27" t="s">
        <v>302</v>
      </c>
      <c r="E17" s="27" t="s">
        <v>136</v>
      </c>
      <c r="F17" s="42" t="str" cm="1">
        <f t="array" ref="F17">_xlfn.IFS(E17="Bandung","BDG",E17="Surabaya","SBY",E17="Jakarta","JKT")</f>
        <v>BDG</v>
      </c>
      <c r="G17" s="27" t="s">
        <v>60</v>
      </c>
      <c r="H17" s="27" t="s">
        <v>319</v>
      </c>
      <c r="I17" s="27" t="s">
        <v>73</v>
      </c>
      <c r="J17" s="26">
        <v>43094</v>
      </c>
      <c r="K17" s="26">
        <v>43094</v>
      </c>
      <c r="L17" s="27">
        <f t="shared" si="2"/>
        <v>2</v>
      </c>
      <c r="M17" s="45">
        <v>170700</v>
      </c>
      <c r="N17" s="45">
        <v>279750</v>
      </c>
      <c r="O17" s="27">
        <v>88</v>
      </c>
      <c r="P17" s="46">
        <f t="shared" si="3"/>
        <v>0.38981233243967828</v>
      </c>
      <c r="Q17" s="27">
        <v>7</v>
      </c>
      <c r="R17" s="44">
        <f t="shared" si="0"/>
        <v>1958250</v>
      </c>
      <c r="S17" s="29">
        <v>0.01</v>
      </c>
      <c r="T17" s="44">
        <f t="shared" si="4"/>
        <v>1938667.5</v>
      </c>
      <c r="U17" s="44">
        <f t="shared" si="5"/>
        <v>743767.5</v>
      </c>
      <c r="V17" s="44"/>
    </row>
    <row r="18" spans="1:24" ht="14.5" x14ac:dyDescent="0.35">
      <c r="A18" s="47" t="str">
        <f t="shared" si="1"/>
        <v>SBY-YM-E1034-2018</v>
      </c>
      <c r="B18" s="26">
        <v>43173</v>
      </c>
      <c r="C18" s="42">
        <v>2018</v>
      </c>
      <c r="D18" s="27" t="s">
        <v>512</v>
      </c>
      <c r="E18" s="27" t="s">
        <v>41</v>
      </c>
      <c r="F18" s="42" t="str" cm="1">
        <f t="array" ref="F18">_xlfn.IFS(E18="Bandung","BDG",E18="Surabaya","SBY",E18="Jakarta","JKT")</f>
        <v>SBY</v>
      </c>
      <c r="G18" s="27" t="s">
        <v>65</v>
      </c>
      <c r="H18" s="27" t="s">
        <v>260</v>
      </c>
      <c r="I18" s="27" t="s">
        <v>39</v>
      </c>
      <c r="J18" s="26">
        <v>43175</v>
      </c>
      <c r="K18" s="26">
        <v>43175</v>
      </c>
      <c r="L18" s="27">
        <f t="shared" si="2"/>
        <v>2</v>
      </c>
      <c r="M18" s="45">
        <v>49800</v>
      </c>
      <c r="N18" s="45">
        <v>77700</v>
      </c>
      <c r="O18" s="27">
        <v>237</v>
      </c>
      <c r="P18" s="46">
        <f t="shared" si="3"/>
        <v>0.35907335907335908</v>
      </c>
      <c r="Q18" s="27">
        <v>9</v>
      </c>
      <c r="R18" s="44">
        <f t="shared" si="0"/>
        <v>699300</v>
      </c>
      <c r="S18" s="29">
        <v>0.09</v>
      </c>
      <c r="T18" s="44">
        <f t="shared" si="4"/>
        <v>636363</v>
      </c>
      <c r="U18" s="44">
        <f t="shared" si="5"/>
        <v>188163</v>
      </c>
      <c r="V18" s="44"/>
    </row>
    <row r="19" spans="1:24" ht="14.5" x14ac:dyDescent="0.35">
      <c r="A19" s="47" t="str">
        <f t="shared" si="1"/>
        <v>SBY-YM-E1034-2019</v>
      </c>
      <c r="B19" s="26">
        <v>43557</v>
      </c>
      <c r="C19" s="42">
        <v>2019</v>
      </c>
      <c r="D19" s="27" t="s">
        <v>512</v>
      </c>
      <c r="E19" s="27" t="s">
        <v>41</v>
      </c>
      <c r="F19" s="42" t="str" cm="1">
        <f t="array" ref="F19">_xlfn.IFS(E19="Bandung","BDG",E19="Surabaya","SBY",E19="Jakarta","JKT")</f>
        <v>SBY</v>
      </c>
      <c r="G19" s="27" t="s">
        <v>65</v>
      </c>
      <c r="H19" s="27" t="s">
        <v>216</v>
      </c>
      <c r="I19" s="27" t="s">
        <v>35</v>
      </c>
      <c r="J19" s="26">
        <v>43559</v>
      </c>
      <c r="K19" s="26">
        <v>43559</v>
      </c>
      <c r="L19" s="27">
        <f t="shared" si="2"/>
        <v>2</v>
      </c>
      <c r="M19" s="45">
        <v>66900</v>
      </c>
      <c r="N19" s="45">
        <v>163350</v>
      </c>
      <c r="O19" s="27">
        <v>371</v>
      </c>
      <c r="P19" s="46">
        <f t="shared" si="3"/>
        <v>0.59044995408631773</v>
      </c>
      <c r="Q19" s="27">
        <v>30</v>
      </c>
      <c r="R19" s="44">
        <f t="shared" si="0"/>
        <v>4900500</v>
      </c>
      <c r="S19" s="29">
        <v>0.08</v>
      </c>
      <c r="T19" s="44">
        <f t="shared" si="4"/>
        <v>4508460</v>
      </c>
      <c r="U19" s="44">
        <f t="shared" si="5"/>
        <v>2501460</v>
      </c>
      <c r="V19" s="44"/>
    </row>
    <row r="20" spans="1:24" ht="14.5" x14ac:dyDescent="0.35">
      <c r="A20" s="47" t="str">
        <f t="shared" si="1"/>
        <v>SBY-YM-E1034-2019</v>
      </c>
      <c r="B20" s="26">
        <v>43578</v>
      </c>
      <c r="C20" s="42">
        <v>2019</v>
      </c>
      <c r="D20" s="27" t="s">
        <v>512</v>
      </c>
      <c r="E20" s="27" t="s">
        <v>41</v>
      </c>
      <c r="F20" s="42" t="str" cm="1">
        <f t="array" ref="F20">_xlfn.IFS(E20="Bandung","BDG",E20="Surabaya","SBY",E20="Jakarta","JKT")</f>
        <v>SBY</v>
      </c>
      <c r="G20" s="27" t="s">
        <v>65</v>
      </c>
      <c r="H20" s="27" t="s">
        <v>113</v>
      </c>
      <c r="I20" s="27" t="s">
        <v>39</v>
      </c>
      <c r="J20" s="26">
        <v>43580</v>
      </c>
      <c r="K20" s="26">
        <v>43580</v>
      </c>
      <c r="L20" s="27">
        <f t="shared" si="2"/>
        <v>2</v>
      </c>
      <c r="M20" s="45">
        <v>52050</v>
      </c>
      <c r="N20" s="45">
        <v>100200</v>
      </c>
      <c r="O20" s="27">
        <v>134</v>
      </c>
      <c r="P20" s="46">
        <f t="shared" si="3"/>
        <v>0.48053892215568861</v>
      </c>
      <c r="Q20" s="27">
        <v>10</v>
      </c>
      <c r="R20" s="44">
        <f t="shared" si="0"/>
        <v>1002000</v>
      </c>
      <c r="S20" s="29">
        <v>0.08</v>
      </c>
      <c r="T20" s="44">
        <f t="shared" si="4"/>
        <v>921840</v>
      </c>
      <c r="U20" s="44">
        <f t="shared" si="5"/>
        <v>401340</v>
      </c>
      <c r="V20" s="44"/>
      <c r="W20" s="34" t="s">
        <v>1803</v>
      </c>
    </row>
    <row r="21" spans="1:24" ht="14.5" x14ac:dyDescent="0.35">
      <c r="A21" s="47" t="str">
        <f t="shared" si="1"/>
        <v>SBY-YL-E1031-2018</v>
      </c>
      <c r="B21" s="26">
        <v>43145</v>
      </c>
      <c r="C21" s="42">
        <v>2018</v>
      </c>
      <c r="D21" s="27" t="s">
        <v>502</v>
      </c>
      <c r="E21" s="27" t="s">
        <v>41</v>
      </c>
      <c r="F21" s="42" t="str" cm="1">
        <f t="array" ref="F21">_xlfn.IFS(E21="Bandung","BDG",E21="Surabaya","SBY",E21="Jakarta","JKT")</f>
        <v>SBY</v>
      </c>
      <c r="G21" s="27" t="s">
        <v>48</v>
      </c>
      <c r="H21" s="27" t="s">
        <v>63</v>
      </c>
      <c r="I21" s="27" t="s">
        <v>35</v>
      </c>
      <c r="J21" s="26">
        <v>43147</v>
      </c>
      <c r="K21" s="26">
        <v>43147</v>
      </c>
      <c r="L21" s="27">
        <f t="shared" si="2"/>
        <v>2</v>
      </c>
      <c r="M21" s="45">
        <v>73350</v>
      </c>
      <c r="N21" s="45">
        <v>114600</v>
      </c>
      <c r="O21" s="27">
        <v>113</v>
      </c>
      <c r="P21" s="46">
        <f t="shared" si="3"/>
        <v>0.3599476439790576</v>
      </c>
      <c r="Q21" s="27">
        <v>12</v>
      </c>
      <c r="R21" s="44">
        <f t="shared" si="0"/>
        <v>1375200</v>
      </c>
      <c r="S21" s="29">
        <v>0.02</v>
      </c>
      <c r="T21" s="44">
        <f t="shared" si="4"/>
        <v>1347696</v>
      </c>
      <c r="U21" s="44">
        <f t="shared" si="5"/>
        <v>467496</v>
      </c>
      <c r="V21" s="44"/>
      <c r="W21" s="34" t="s">
        <v>1804</v>
      </c>
    </row>
    <row r="22" spans="1:24" ht="14.5" x14ac:dyDescent="0.35">
      <c r="A22" s="47" t="str">
        <f t="shared" si="1"/>
        <v>SBY-YL-E1031-2019</v>
      </c>
      <c r="B22" s="26">
        <v>43806</v>
      </c>
      <c r="C22" s="42">
        <v>2019</v>
      </c>
      <c r="D22" s="27" t="s">
        <v>502</v>
      </c>
      <c r="E22" s="27" t="s">
        <v>41</v>
      </c>
      <c r="F22" s="42" t="str" cm="1">
        <f t="array" ref="F22">_xlfn.IFS(E22="Bandung","BDG",E22="Surabaya","SBY",E22="Jakarta","JKT")</f>
        <v>SBY</v>
      </c>
      <c r="G22" s="27" t="s">
        <v>48</v>
      </c>
      <c r="H22" s="27" t="s">
        <v>127</v>
      </c>
      <c r="I22" s="27" t="s">
        <v>35</v>
      </c>
      <c r="J22" s="26">
        <v>43806</v>
      </c>
      <c r="K22" s="26">
        <v>43658</v>
      </c>
      <c r="L22" s="27">
        <f t="shared" si="2"/>
        <v>-148</v>
      </c>
      <c r="M22" s="45">
        <v>296700</v>
      </c>
      <c r="N22" s="45">
        <v>689850</v>
      </c>
      <c r="O22" s="27">
        <v>144</v>
      </c>
      <c r="P22" s="46">
        <f t="shared" si="3"/>
        <v>0.56990650141335075</v>
      </c>
      <c r="Q22" s="27">
        <v>46</v>
      </c>
      <c r="R22" s="44">
        <f t="shared" si="0"/>
        <v>31733100</v>
      </c>
      <c r="S22" s="29">
        <v>0.1</v>
      </c>
      <c r="T22" s="44">
        <f t="shared" si="4"/>
        <v>28559790</v>
      </c>
      <c r="U22" s="44">
        <f t="shared" si="5"/>
        <v>14911590</v>
      </c>
      <c r="V22" s="44"/>
    </row>
    <row r="23" spans="1:24" ht="14.5" x14ac:dyDescent="0.35">
      <c r="A23" s="47" t="str">
        <f t="shared" si="1"/>
        <v>JKT-YD-E1029-2018</v>
      </c>
      <c r="B23" s="26">
        <v>43279</v>
      </c>
      <c r="C23" s="42">
        <v>2018</v>
      </c>
      <c r="D23" s="27" t="s">
        <v>559</v>
      </c>
      <c r="E23" s="27" t="s">
        <v>32</v>
      </c>
      <c r="F23" s="42" t="str" cm="1">
        <f t="array" ref="F23">_xlfn.IFS(E23="Bandung","BDG",E23="Surabaya","SBY",E23="Jakarta","JKT")</f>
        <v>JKT</v>
      </c>
      <c r="G23" s="27" t="s">
        <v>37</v>
      </c>
      <c r="H23" s="27" t="s">
        <v>276</v>
      </c>
      <c r="I23" s="27" t="s">
        <v>35</v>
      </c>
      <c r="J23" s="26">
        <v>43279</v>
      </c>
      <c r="K23" s="26">
        <v>43279</v>
      </c>
      <c r="L23" s="27">
        <f t="shared" si="2"/>
        <v>0</v>
      </c>
      <c r="M23" s="45">
        <v>224250</v>
      </c>
      <c r="N23" s="45">
        <v>521399.99999999994</v>
      </c>
      <c r="O23" s="27">
        <v>267</v>
      </c>
      <c r="P23" s="46">
        <f t="shared" si="3"/>
        <v>0.56990794016110469</v>
      </c>
      <c r="Q23" s="27">
        <v>43</v>
      </c>
      <c r="R23" s="44">
        <f t="shared" si="0"/>
        <v>22420199.999999996</v>
      </c>
      <c r="S23" s="29">
        <v>0</v>
      </c>
      <c r="T23" s="44">
        <f t="shared" si="4"/>
        <v>22420199.999999996</v>
      </c>
      <c r="U23" s="44">
        <f t="shared" si="5"/>
        <v>12777449.999999996</v>
      </c>
      <c r="V23" s="48" t="s">
        <v>1810</v>
      </c>
      <c r="W23" s="49">
        <f>AVERAGEIFS(U4:U1003,C4:C1003,2018)</f>
        <v>7623843.0308219176</v>
      </c>
      <c r="X23" s="50" t="s">
        <v>1812</v>
      </c>
    </row>
    <row r="24" spans="1:24" ht="14.5" x14ac:dyDescent="0.35">
      <c r="A24" s="47" t="str">
        <f t="shared" si="1"/>
        <v>SBY-YA-E1033-2016</v>
      </c>
      <c r="B24" s="26">
        <v>42727</v>
      </c>
      <c r="C24" s="42">
        <v>2016</v>
      </c>
      <c r="D24" s="27" t="s">
        <v>263</v>
      </c>
      <c r="E24" s="27" t="s">
        <v>41</v>
      </c>
      <c r="F24" s="42" t="str" cm="1">
        <f t="array" ref="F24">_xlfn.IFS(E24="Bandung","BDG",E24="Surabaya","SBY",E24="Jakarta","JKT")</f>
        <v>SBY</v>
      </c>
      <c r="G24" s="27" t="s">
        <v>60</v>
      </c>
      <c r="H24" s="27" t="s">
        <v>161</v>
      </c>
      <c r="I24" s="27" t="s">
        <v>39</v>
      </c>
      <c r="J24" s="26">
        <v>42729</v>
      </c>
      <c r="K24" s="26">
        <v>42729</v>
      </c>
      <c r="L24" s="27">
        <f t="shared" si="2"/>
        <v>2</v>
      </c>
      <c r="M24" s="45">
        <v>26400</v>
      </c>
      <c r="N24" s="45">
        <v>50700</v>
      </c>
      <c r="O24" s="27">
        <v>97</v>
      </c>
      <c r="P24" s="46">
        <f t="shared" si="3"/>
        <v>0.47928994082840237</v>
      </c>
      <c r="Q24" s="27">
        <v>27</v>
      </c>
      <c r="R24" s="44">
        <f t="shared" si="0"/>
        <v>1368900</v>
      </c>
      <c r="S24" s="29">
        <v>0.08</v>
      </c>
      <c r="T24" s="44">
        <f t="shared" si="4"/>
        <v>1259388</v>
      </c>
      <c r="U24" s="44">
        <f t="shared" si="5"/>
        <v>546588</v>
      </c>
      <c r="V24" s="48" t="s">
        <v>1811</v>
      </c>
      <c r="W24" s="50">
        <f>SUMIFS(Q4:Q1003,I4:I1003,"Wrap Bag",C4:C1003,2019)</f>
        <v>2104</v>
      </c>
      <c r="X24" s="50" t="s">
        <v>1813</v>
      </c>
    </row>
    <row r="25" spans="1:24" ht="14.5" x14ac:dyDescent="0.35">
      <c r="A25" s="47" t="str">
        <f t="shared" si="1"/>
        <v>SBY-YA-E1033-2017</v>
      </c>
      <c r="B25" s="26">
        <v>42892</v>
      </c>
      <c r="C25" s="42">
        <v>2017</v>
      </c>
      <c r="D25" s="27" t="s">
        <v>263</v>
      </c>
      <c r="E25" s="27" t="s">
        <v>41</v>
      </c>
      <c r="F25" s="42" t="str" cm="1">
        <f t="array" ref="F25">_xlfn.IFS(E25="Bandung","BDG",E25="Surabaya","SBY",E25="Jakarta","JKT")</f>
        <v>SBY</v>
      </c>
      <c r="G25" s="27" t="s">
        <v>60</v>
      </c>
      <c r="H25" s="27" t="s">
        <v>196</v>
      </c>
      <c r="I25" s="27" t="s">
        <v>35</v>
      </c>
      <c r="J25" s="26">
        <v>42922</v>
      </c>
      <c r="K25" s="26">
        <v>42893</v>
      </c>
      <c r="L25" s="27">
        <f t="shared" si="2"/>
        <v>1</v>
      </c>
      <c r="M25" s="45">
        <v>323400</v>
      </c>
      <c r="N25" s="45">
        <v>539100</v>
      </c>
      <c r="O25" s="27">
        <v>73</v>
      </c>
      <c r="P25" s="46">
        <f t="shared" si="3"/>
        <v>0.40011129660545353</v>
      </c>
      <c r="Q25" s="27">
        <v>13</v>
      </c>
      <c r="R25" s="44">
        <f t="shared" si="0"/>
        <v>7008300</v>
      </c>
      <c r="S25" s="29">
        <v>0.03</v>
      </c>
      <c r="T25" s="44">
        <f t="shared" si="4"/>
        <v>6798051</v>
      </c>
      <c r="U25" s="44">
        <f t="shared" si="5"/>
        <v>2593851</v>
      </c>
      <c r="V25" s="44"/>
    </row>
    <row r="26" spans="1:24" ht="14.5" x14ac:dyDescent="0.35">
      <c r="A26" s="47" t="str">
        <f t="shared" si="1"/>
        <v>SBY-YA-E1033-2018</v>
      </c>
      <c r="B26" s="26">
        <v>43450</v>
      </c>
      <c r="C26" s="42">
        <v>2018</v>
      </c>
      <c r="D26" s="27" t="s">
        <v>263</v>
      </c>
      <c r="E26" s="27" t="s">
        <v>41</v>
      </c>
      <c r="F26" s="42" t="str" cm="1">
        <f t="array" ref="F26">_xlfn.IFS(E26="Bandung","BDG",E26="Surabaya","SBY",E26="Jakarta","JKT")</f>
        <v>SBY</v>
      </c>
      <c r="G26" s="27" t="s">
        <v>60</v>
      </c>
      <c r="H26" s="27" t="s">
        <v>216</v>
      </c>
      <c r="I26" s="27" t="s">
        <v>35</v>
      </c>
      <c r="J26" s="26" t="s">
        <v>1711</v>
      </c>
      <c r="K26" s="26">
        <v>43454</v>
      </c>
      <c r="L26" s="27">
        <f t="shared" si="2"/>
        <v>4</v>
      </c>
      <c r="M26" s="45">
        <v>66900</v>
      </c>
      <c r="N26" s="45">
        <v>163350</v>
      </c>
      <c r="O26" s="27">
        <v>341</v>
      </c>
      <c r="P26" s="46">
        <f t="shared" si="3"/>
        <v>0.59044995408631773</v>
      </c>
      <c r="Q26" s="27">
        <v>3</v>
      </c>
      <c r="R26" s="44">
        <f t="shared" si="0"/>
        <v>490050</v>
      </c>
      <c r="S26" s="29">
        <v>0.08</v>
      </c>
      <c r="T26" s="44">
        <f t="shared" si="4"/>
        <v>450846</v>
      </c>
      <c r="U26" s="44">
        <f t="shared" si="5"/>
        <v>250146</v>
      </c>
      <c r="V26" s="44"/>
    </row>
    <row r="27" spans="1:24" ht="14.5" x14ac:dyDescent="0.35">
      <c r="A27" s="47" t="str">
        <f t="shared" si="1"/>
        <v>SBY-XP-E1036-2016</v>
      </c>
      <c r="B27" s="26">
        <v>42706</v>
      </c>
      <c r="C27" s="42">
        <v>2016</v>
      </c>
      <c r="D27" s="27" t="s">
        <v>248</v>
      </c>
      <c r="E27" s="27" t="s">
        <v>41</v>
      </c>
      <c r="F27" s="42" t="str" cm="1">
        <f t="array" ref="F27">_xlfn.IFS(E27="Bandung","BDG",E27="Surabaya","SBY",E27="Jakarta","JKT")</f>
        <v>SBY</v>
      </c>
      <c r="G27" s="27" t="s">
        <v>78</v>
      </c>
      <c r="H27" s="27" t="s">
        <v>113</v>
      </c>
      <c r="I27" s="27" t="s">
        <v>39</v>
      </c>
      <c r="J27" s="26">
        <v>42472</v>
      </c>
      <c r="K27" s="26">
        <v>42708</v>
      </c>
      <c r="L27" s="27">
        <f t="shared" si="2"/>
        <v>2</v>
      </c>
      <c r="M27" s="45">
        <v>52050</v>
      </c>
      <c r="N27" s="45">
        <v>100200</v>
      </c>
      <c r="O27" s="27">
        <v>124</v>
      </c>
      <c r="P27" s="46">
        <f t="shared" si="3"/>
        <v>0.48053892215568861</v>
      </c>
      <c r="Q27" s="27">
        <v>5</v>
      </c>
      <c r="R27" s="44">
        <f t="shared" si="0"/>
        <v>501000</v>
      </c>
      <c r="S27" s="29">
        <v>0.09</v>
      </c>
      <c r="T27" s="44">
        <f t="shared" si="4"/>
        <v>455910</v>
      </c>
      <c r="U27" s="44">
        <f t="shared" si="5"/>
        <v>195660</v>
      </c>
      <c r="V27" s="44"/>
    </row>
    <row r="28" spans="1:24" ht="14.5" x14ac:dyDescent="0.35">
      <c r="A28" s="47" t="str">
        <f t="shared" si="1"/>
        <v>SBY-XP-E1036-2020</v>
      </c>
      <c r="B28" s="26">
        <v>43857</v>
      </c>
      <c r="C28" s="42">
        <v>2020</v>
      </c>
      <c r="D28" s="27" t="s">
        <v>248</v>
      </c>
      <c r="E28" s="27" t="s">
        <v>41</v>
      </c>
      <c r="F28" s="42" t="str" cm="1">
        <f t="array" ref="F28">_xlfn.IFS(E28="Bandung","BDG",E28="Surabaya","SBY",E28="Jakarta","JKT")</f>
        <v>SBY</v>
      </c>
      <c r="G28" s="27" t="s">
        <v>78</v>
      </c>
      <c r="H28" s="27" t="s">
        <v>99</v>
      </c>
      <c r="I28" s="27" t="s">
        <v>35</v>
      </c>
      <c r="J28" s="26" t="s">
        <v>1768</v>
      </c>
      <c r="K28" s="26">
        <v>43860</v>
      </c>
      <c r="L28" s="27">
        <f t="shared" si="2"/>
        <v>3</v>
      </c>
      <c r="M28" s="45">
        <v>95850</v>
      </c>
      <c r="N28" s="45">
        <v>299700</v>
      </c>
      <c r="O28" s="27">
        <v>297</v>
      </c>
      <c r="P28" s="46">
        <f t="shared" si="3"/>
        <v>0.68018018018018023</v>
      </c>
      <c r="Q28" s="27">
        <v>9</v>
      </c>
      <c r="R28" s="44">
        <f t="shared" si="0"/>
        <v>2697300</v>
      </c>
      <c r="S28" s="29">
        <v>0.06</v>
      </c>
      <c r="T28" s="44">
        <f t="shared" si="4"/>
        <v>2535462</v>
      </c>
      <c r="U28" s="44">
        <f t="shared" si="5"/>
        <v>1672812</v>
      </c>
      <c r="V28" s="44"/>
    </row>
    <row r="29" spans="1:24" ht="14.5" x14ac:dyDescent="0.35">
      <c r="A29" s="47" t="str">
        <f t="shared" si="1"/>
        <v>JKT-WM-E1029-2016</v>
      </c>
      <c r="B29" s="26">
        <v>42646</v>
      </c>
      <c r="C29" s="42">
        <v>2016</v>
      </c>
      <c r="D29" s="27" t="s">
        <v>177</v>
      </c>
      <c r="E29" s="27" t="s">
        <v>32</v>
      </c>
      <c r="F29" s="42" t="str" cm="1">
        <f t="array" ref="F29">_xlfn.IFS(E29="Bandung","BDG",E29="Surabaya","SBY",E29="Jakarta","JKT")</f>
        <v>JKT</v>
      </c>
      <c r="G29" s="27" t="s">
        <v>37</v>
      </c>
      <c r="H29" s="27" t="s">
        <v>178</v>
      </c>
      <c r="I29" s="27" t="s">
        <v>39</v>
      </c>
      <c r="J29" s="26">
        <v>42500</v>
      </c>
      <c r="K29" s="26">
        <v>42648</v>
      </c>
      <c r="L29" s="27">
        <f t="shared" si="2"/>
        <v>2</v>
      </c>
      <c r="M29" s="45">
        <v>24000</v>
      </c>
      <c r="N29" s="45">
        <v>39300</v>
      </c>
      <c r="O29" s="27">
        <v>365</v>
      </c>
      <c r="P29" s="46">
        <f t="shared" si="3"/>
        <v>0.38931297709923662</v>
      </c>
      <c r="Q29" s="27">
        <v>34</v>
      </c>
      <c r="R29" s="44">
        <f t="shared" si="0"/>
        <v>1336200</v>
      </c>
      <c r="S29" s="29">
        <v>0.08</v>
      </c>
      <c r="T29" s="44">
        <f t="shared" si="4"/>
        <v>1229304</v>
      </c>
      <c r="U29" s="44">
        <f t="shared" si="5"/>
        <v>413304</v>
      </c>
      <c r="V29" s="44"/>
    </row>
    <row r="30" spans="1:24" ht="14.5" x14ac:dyDescent="0.35">
      <c r="A30" s="47" t="str">
        <f t="shared" si="1"/>
        <v>JKT-WM-E1029-2016</v>
      </c>
      <c r="B30" s="26">
        <v>42675</v>
      </c>
      <c r="C30" s="42">
        <v>2016</v>
      </c>
      <c r="D30" s="27" t="s">
        <v>177</v>
      </c>
      <c r="E30" s="27" t="s">
        <v>32</v>
      </c>
      <c r="F30" s="42" t="str" cm="1">
        <f t="array" ref="F30">_xlfn.IFS(E30="Bandung","BDG",E30="Surabaya","SBY",E30="Jakarta","JKT")</f>
        <v>JKT</v>
      </c>
      <c r="G30" s="27" t="s">
        <v>37</v>
      </c>
      <c r="H30" s="27" t="s">
        <v>61</v>
      </c>
      <c r="I30" s="27" t="s">
        <v>35</v>
      </c>
      <c r="J30" s="26">
        <v>42677</v>
      </c>
      <c r="K30" s="26">
        <v>42440</v>
      </c>
      <c r="L30" s="27">
        <f t="shared" si="2"/>
        <v>-235</v>
      </c>
      <c r="M30" s="45">
        <v>79950</v>
      </c>
      <c r="N30" s="45">
        <v>129000</v>
      </c>
      <c r="O30" s="27">
        <v>245</v>
      </c>
      <c r="P30" s="46">
        <f t="shared" si="3"/>
        <v>0.38023255813953488</v>
      </c>
      <c r="Q30" s="27">
        <v>23</v>
      </c>
      <c r="R30" s="44">
        <f t="shared" si="0"/>
        <v>2967000</v>
      </c>
      <c r="S30" s="29">
        <v>0.02</v>
      </c>
      <c r="T30" s="44">
        <f t="shared" si="4"/>
        <v>2907660</v>
      </c>
      <c r="U30" s="44">
        <f t="shared" si="5"/>
        <v>1068810</v>
      </c>
      <c r="V30" s="44"/>
    </row>
    <row r="31" spans="1:24" ht="14.5" x14ac:dyDescent="0.35">
      <c r="A31" s="47" t="str">
        <f t="shared" si="1"/>
        <v>JKT-WM-E1029-2018</v>
      </c>
      <c r="B31" s="26">
        <v>43166</v>
      </c>
      <c r="C31" s="42">
        <v>2018</v>
      </c>
      <c r="D31" s="27" t="s">
        <v>177</v>
      </c>
      <c r="E31" s="27" t="s">
        <v>32</v>
      </c>
      <c r="F31" s="42" t="str" cm="1">
        <f t="array" ref="F31">_xlfn.IFS(E31="Bandung","BDG",E31="Surabaya","SBY",E31="Jakarta","JKT")</f>
        <v>JKT</v>
      </c>
      <c r="G31" s="27" t="s">
        <v>37</v>
      </c>
      <c r="H31" s="27" t="s">
        <v>209</v>
      </c>
      <c r="I31" s="27" t="s">
        <v>46</v>
      </c>
      <c r="J31" s="26">
        <v>43407</v>
      </c>
      <c r="K31" s="26">
        <v>43170</v>
      </c>
      <c r="L31" s="27">
        <f t="shared" si="2"/>
        <v>4</v>
      </c>
      <c r="M31" s="45">
        <v>4184850</v>
      </c>
      <c r="N31" s="45">
        <v>6749850</v>
      </c>
      <c r="O31" s="27">
        <v>474</v>
      </c>
      <c r="P31" s="46">
        <f t="shared" si="3"/>
        <v>0.38000844463210293</v>
      </c>
      <c r="Q31" s="27">
        <v>34</v>
      </c>
      <c r="R31" s="44">
        <f t="shared" si="0"/>
        <v>229494900</v>
      </c>
      <c r="S31" s="29">
        <v>0.02</v>
      </c>
      <c r="T31" s="44">
        <f t="shared" si="4"/>
        <v>224905002</v>
      </c>
      <c r="U31" s="44">
        <f t="shared" si="5"/>
        <v>82620102</v>
      </c>
      <c r="V31" s="44"/>
    </row>
    <row r="32" spans="1:24" ht="14.5" x14ac:dyDescent="0.35">
      <c r="A32" s="47" t="str">
        <f t="shared" si="1"/>
        <v>SBY-WH-E1039-2020</v>
      </c>
      <c r="B32" s="26">
        <v>43872</v>
      </c>
      <c r="C32" s="42">
        <v>2020</v>
      </c>
      <c r="D32" s="27" t="s">
        <v>713</v>
      </c>
      <c r="E32" s="27" t="s">
        <v>41</v>
      </c>
      <c r="F32" s="42" t="str" cm="1">
        <f t="array" ref="F32">_xlfn.IFS(E32="Bandung","BDG",E32="Surabaya","SBY",E32="Jakarta","JKT")</f>
        <v>SBY</v>
      </c>
      <c r="G32" s="27" t="s">
        <v>103</v>
      </c>
      <c r="H32" s="27" t="s">
        <v>99</v>
      </c>
      <c r="I32" s="27" t="s">
        <v>35</v>
      </c>
      <c r="J32" s="26">
        <v>43873</v>
      </c>
      <c r="K32" s="26">
        <v>44167</v>
      </c>
      <c r="L32" s="27">
        <f t="shared" si="2"/>
        <v>295</v>
      </c>
      <c r="M32" s="45">
        <v>95850</v>
      </c>
      <c r="N32" s="45">
        <v>299700</v>
      </c>
      <c r="O32" s="27">
        <v>288</v>
      </c>
      <c r="P32" s="46">
        <f t="shared" si="3"/>
        <v>0.68018018018018023</v>
      </c>
      <c r="Q32" s="27">
        <v>9</v>
      </c>
      <c r="R32" s="44">
        <f t="shared" si="0"/>
        <v>2697300</v>
      </c>
      <c r="S32" s="29">
        <v>0.09</v>
      </c>
      <c r="T32" s="44">
        <f t="shared" si="4"/>
        <v>2454543</v>
      </c>
      <c r="U32" s="44">
        <f t="shared" si="5"/>
        <v>1591893</v>
      </c>
      <c r="V32" s="44"/>
    </row>
    <row r="33" spans="1:22" ht="14.5" x14ac:dyDescent="0.35">
      <c r="A33" s="47" t="str">
        <f t="shared" si="1"/>
        <v>JKT-WR-E1028-2019</v>
      </c>
      <c r="B33" s="26">
        <v>43687</v>
      </c>
      <c r="C33" s="42">
        <v>2019</v>
      </c>
      <c r="D33" s="27" t="s">
        <v>682</v>
      </c>
      <c r="E33" s="27" t="s">
        <v>32</v>
      </c>
      <c r="F33" s="42" t="str" cm="1">
        <f t="array" ref="F33">_xlfn.IFS(E33="Bandung","BDG",E33="Surabaya","SBY",E33="Jakarta","JKT")</f>
        <v>JKT</v>
      </c>
      <c r="G33" s="27" t="s">
        <v>33</v>
      </c>
      <c r="H33" s="27" t="s">
        <v>148</v>
      </c>
      <c r="I33" s="27" t="s">
        <v>35</v>
      </c>
      <c r="J33" s="26">
        <v>43688</v>
      </c>
      <c r="K33" s="26">
        <v>43777</v>
      </c>
      <c r="L33" s="27">
        <f t="shared" si="2"/>
        <v>90</v>
      </c>
      <c r="M33" s="45">
        <v>33750</v>
      </c>
      <c r="N33" s="45">
        <v>55350</v>
      </c>
      <c r="O33" s="27">
        <v>270</v>
      </c>
      <c r="P33" s="46">
        <f t="shared" si="3"/>
        <v>0.3902439024390244</v>
      </c>
      <c r="Q33" s="27">
        <v>46</v>
      </c>
      <c r="R33" s="44">
        <f t="shared" si="0"/>
        <v>2546100</v>
      </c>
      <c r="S33" s="29">
        <v>0.04</v>
      </c>
      <c r="T33" s="44">
        <f t="shared" si="4"/>
        <v>2444256</v>
      </c>
      <c r="U33" s="44">
        <f t="shared" si="5"/>
        <v>891756</v>
      </c>
      <c r="V33" s="44"/>
    </row>
    <row r="34" spans="1:22" ht="14.5" x14ac:dyDescent="0.35">
      <c r="A34" s="47" t="str">
        <f t="shared" si="1"/>
        <v>JKT-WK-E1028-2017</v>
      </c>
      <c r="B34" s="26">
        <v>42886</v>
      </c>
      <c r="C34" s="42">
        <v>2017</v>
      </c>
      <c r="D34" s="27" t="s">
        <v>375</v>
      </c>
      <c r="E34" s="27" t="s">
        <v>32</v>
      </c>
      <c r="F34" s="42" t="str" cm="1">
        <f t="array" ref="F34">_xlfn.IFS(E34="Bandung","BDG",E34="Surabaya","SBY",E34="Jakarta","JKT")</f>
        <v>JKT</v>
      </c>
      <c r="G34" s="27" t="s">
        <v>33</v>
      </c>
      <c r="H34" s="27" t="s">
        <v>119</v>
      </c>
      <c r="I34" s="27" t="s">
        <v>120</v>
      </c>
      <c r="J34" s="26">
        <v>42772</v>
      </c>
      <c r="K34" s="26">
        <v>42888</v>
      </c>
      <c r="L34" s="27">
        <f t="shared" si="2"/>
        <v>2</v>
      </c>
      <c r="M34" s="45">
        <v>132300</v>
      </c>
      <c r="N34" s="45">
        <v>314850</v>
      </c>
      <c r="O34" s="27">
        <v>367</v>
      </c>
      <c r="P34" s="46">
        <f t="shared" si="3"/>
        <v>0.57979990471653164</v>
      </c>
      <c r="Q34" s="27">
        <v>24</v>
      </c>
      <c r="R34" s="44">
        <f t="shared" si="0"/>
        <v>7556400</v>
      </c>
      <c r="S34" s="29">
        <v>0.01</v>
      </c>
      <c r="T34" s="44">
        <f t="shared" si="4"/>
        <v>7480836</v>
      </c>
      <c r="U34" s="44">
        <f t="shared" si="5"/>
        <v>4305636</v>
      </c>
      <c r="V34" s="44"/>
    </row>
    <row r="35" spans="1:22" ht="14.5" x14ac:dyDescent="0.35">
      <c r="A35" s="47" t="str">
        <f t="shared" si="1"/>
        <v>JKT-WN-E1029-2019</v>
      </c>
      <c r="B35" s="26">
        <v>43472</v>
      </c>
      <c r="C35" s="42">
        <v>2019</v>
      </c>
      <c r="D35" s="27" t="s">
        <v>628</v>
      </c>
      <c r="E35" s="27" t="s">
        <v>32</v>
      </c>
      <c r="F35" s="42" t="str" cm="1">
        <f t="array" ref="F35">_xlfn.IFS(E35="Bandung","BDG",E35="Surabaya","SBY",E35="Jakarta","JKT")</f>
        <v>JKT</v>
      </c>
      <c r="G35" s="27" t="s">
        <v>37</v>
      </c>
      <c r="H35" s="27" t="s">
        <v>244</v>
      </c>
      <c r="I35" s="27" t="s">
        <v>35</v>
      </c>
      <c r="J35" s="26">
        <v>43709</v>
      </c>
      <c r="K35" s="26">
        <v>43474</v>
      </c>
      <c r="L35" s="27">
        <f t="shared" si="2"/>
        <v>2</v>
      </c>
      <c r="M35" s="45">
        <v>32700.000000000004</v>
      </c>
      <c r="N35" s="45">
        <v>52800</v>
      </c>
      <c r="O35" s="27">
        <v>210</v>
      </c>
      <c r="P35" s="46">
        <f t="shared" si="3"/>
        <v>0.38068181818181812</v>
      </c>
      <c r="Q35" s="27">
        <v>13</v>
      </c>
      <c r="R35" s="44">
        <f t="shared" si="0"/>
        <v>686400</v>
      </c>
      <c r="S35" s="29">
        <v>0.08</v>
      </c>
      <c r="T35" s="44">
        <f t="shared" si="4"/>
        <v>631488</v>
      </c>
      <c r="U35" s="44">
        <f t="shared" si="5"/>
        <v>206387.99999999994</v>
      </c>
      <c r="V35" s="44"/>
    </row>
    <row r="36" spans="1:22" ht="14.5" x14ac:dyDescent="0.35">
      <c r="A36" s="47" t="str">
        <f t="shared" si="1"/>
        <v>JKT-WN-E1029-2020</v>
      </c>
      <c r="B36" s="26">
        <v>43874</v>
      </c>
      <c r="C36" s="42">
        <v>2020</v>
      </c>
      <c r="D36" s="27" t="s">
        <v>628</v>
      </c>
      <c r="E36" s="27" t="s">
        <v>32</v>
      </c>
      <c r="F36" s="42" t="str" cm="1">
        <f t="array" ref="F36">_xlfn.IFS(E36="Bandung","BDG",E36="Surabaya","SBY",E36="Jakarta","JKT")</f>
        <v>JKT</v>
      </c>
      <c r="G36" s="27" t="s">
        <v>37</v>
      </c>
      <c r="H36" s="27" t="s">
        <v>214</v>
      </c>
      <c r="I36" s="27" t="s">
        <v>35</v>
      </c>
      <c r="J36" s="26" t="s">
        <v>1769</v>
      </c>
      <c r="K36" s="26">
        <v>43875</v>
      </c>
      <c r="L36" s="27">
        <f t="shared" si="2"/>
        <v>1</v>
      </c>
      <c r="M36" s="45">
        <v>54750</v>
      </c>
      <c r="N36" s="45">
        <v>89700</v>
      </c>
      <c r="O36" s="27">
        <v>300</v>
      </c>
      <c r="P36" s="46">
        <f t="shared" si="3"/>
        <v>0.38963210702341139</v>
      </c>
      <c r="Q36" s="27">
        <v>23</v>
      </c>
      <c r="R36" s="44">
        <f t="shared" si="0"/>
        <v>2063100</v>
      </c>
      <c r="S36" s="29">
        <v>0.01</v>
      </c>
      <c r="T36" s="44">
        <f t="shared" si="4"/>
        <v>2042469</v>
      </c>
      <c r="U36" s="44">
        <f t="shared" si="5"/>
        <v>783219</v>
      </c>
      <c r="V36" s="44"/>
    </row>
    <row r="37" spans="1:22" ht="14.5" x14ac:dyDescent="0.35">
      <c r="A37" s="47" t="str">
        <f t="shared" si="1"/>
        <v>SBY-WS-E1036-2016</v>
      </c>
      <c r="B37" s="26">
        <v>42646</v>
      </c>
      <c r="C37" s="42">
        <v>2016</v>
      </c>
      <c r="D37" s="27" t="s">
        <v>176</v>
      </c>
      <c r="E37" s="27" t="s">
        <v>41</v>
      </c>
      <c r="F37" s="42" t="str" cm="1">
        <f t="array" ref="F37">_xlfn.IFS(E37="Bandung","BDG",E37="Surabaya","SBY",E37="Jakarta","JKT")</f>
        <v>SBY</v>
      </c>
      <c r="G37" s="27" t="s">
        <v>78</v>
      </c>
      <c r="H37" s="27" t="s">
        <v>54</v>
      </c>
      <c r="I37" s="27" t="s">
        <v>35</v>
      </c>
      <c r="J37" s="26">
        <v>42647</v>
      </c>
      <c r="K37" s="26">
        <v>42470</v>
      </c>
      <c r="L37" s="27">
        <f t="shared" si="2"/>
        <v>-176</v>
      </c>
      <c r="M37" s="45">
        <v>1490850</v>
      </c>
      <c r="N37" s="45">
        <v>2443950</v>
      </c>
      <c r="O37" s="27">
        <v>277</v>
      </c>
      <c r="P37" s="46">
        <f t="shared" si="3"/>
        <v>0.38998342846621248</v>
      </c>
      <c r="Q37" s="27">
        <v>7</v>
      </c>
      <c r="R37" s="44">
        <f t="shared" si="0"/>
        <v>17107650</v>
      </c>
      <c r="S37" s="29">
        <v>0.03</v>
      </c>
      <c r="T37" s="44">
        <f t="shared" si="4"/>
        <v>16594420.5</v>
      </c>
      <c r="U37" s="44">
        <f t="shared" si="5"/>
        <v>6158470.5</v>
      </c>
      <c r="V37" s="44"/>
    </row>
    <row r="38" spans="1:22" ht="14.5" x14ac:dyDescent="0.35">
      <c r="A38" s="47" t="str">
        <f t="shared" si="1"/>
        <v>SBY-WS-E1036-2018</v>
      </c>
      <c r="B38" s="26">
        <v>43343</v>
      </c>
      <c r="C38" s="42">
        <v>2018</v>
      </c>
      <c r="D38" s="27" t="s">
        <v>176</v>
      </c>
      <c r="E38" s="27" t="s">
        <v>41</v>
      </c>
      <c r="F38" s="42" t="str" cm="1">
        <f t="array" ref="F38">_xlfn.IFS(E38="Bandung","BDG",E38="Surabaya","SBY",E38="Jakarta","JKT")</f>
        <v>SBY</v>
      </c>
      <c r="G38" s="27" t="s">
        <v>78</v>
      </c>
      <c r="H38" s="27" t="s">
        <v>225</v>
      </c>
      <c r="I38" s="27" t="s">
        <v>35</v>
      </c>
      <c r="J38" s="26">
        <v>43109</v>
      </c>
      <c r="K38" s="26">
        <v>43344</v>
      </c>
      <c r="L38" s="27">
        <f t="shared" si="2"/>
        <v>1</v>
      </c>
      <c r="M38" s="45">
        <v>27600</v>
      </c>
      <c r="N38" s="45">
        <v>43200</v>
      </c>
      <c r="O38" s="27">
        <v>217</v>
      </c>
      <c r="P38" s="46">
        <f t="shared" si="3"/>
        <v>0.3611111111111111</v>
      </c>
      <c r="Q38" s="27">
        <v>16</v>
      </c>
      <c r="R38" s="44">
        <f t="shared" si="0"/>
        <v>691200</v>
      </c>
      <c r="S38" s="29">
        <v>0.05</v>
      </c>
      <c r="T38" s="44">
        <f t="shared" si="4"/>
        <v>656640</v>
      </c>
      <c r="U38" s="44">
        <f t="shared" si="5"/>
        <v>215040</v>
      </c>
      <c r="V38" s="44"/>
    </row>
    <row r="39" spans="1:22" ht="14.5" x14ac:dyDescent="0.35">
      <c r="A39" s="47" t="str">
        <f t="shared" si="1"/>
        <v>SBY-WS-E1040-2019</v>
      </c>
      <c r="B39" s="26">
        <v>43816</v>
      </c>
      <c r="C39" s="42">
        <v>2019</v>
      </c>
      <c r="D39" s="27" t="s">
        <v>706</v>
      </c>
      <c r="E39" s="27" t="s">
        <v>41</v>
      </c>
      <c r="F39" s="42" t="str" cm="1">
        <f t="array" ref="F39">_xlfn.IFS(E39="Bandung","BDG",E39="Surabaya","SBY",E39="Jakarta","JKT")</f>
        <v>SBY</v>
      </c>
      <c r="G39" s="27" t="s">
        <v>160</v>
      </c>
      <c r="H39" s="27" t="s">
        <v>105</v>
      </c>
      <c r="I39" s="27" t="s">
        <v>35</v>
      </c>
      <c r="J39" s="26">
        <v>43818</v>
      </c>
      <c r="K39" s="26">
        <v>43818</v>
      </c>
      <c r="L39" s="27">
        <f t="shared" si="2"/>
        <v>2</v>
      </c>
      <c r="M39" s="45">
        <v>151050</v>
      </c>
      <c r="N39" s="45">
        <v>239700</v>
      </c>
      <c r="O39" s="27">
        <v>389</v>
      </c>
      <c r="P39" s="46">
        <f t="shared" si="3"/>
        <v>0.36983729662077597</v>
      </c>
      <c r="Q39" s="27">
        <v>30</v>
      </c>
      <c r="R39" s="44">
        <f t="shared" si="0"/>
        <v>7191000</v>
      </c>
      <c r="S39" s="29">
        <v>0.08</v>
      </c>
      <c r="T39" s="44">
        <f t="shared" si="4"/>
        <v>6615720</v>
      </c>
      <c r="U39" s="44">
        <f t="shared" si="5"/>
        <v>2084220</v>
      </c>
      <c r="V39" s="44"/>
    </row>
    <row r="40" spans="1:22" ht="14.5" x14ac:dyDescent="0.35">
      <c r="A40" s="47" t="str">
        <f t="shared" si="1"/>
        <v>JKT-WR-E1028-2016</v>
      </c>
      <c r="B40" s="26">
        <v>42516</v>
      </c>
      <c r="C40" s="42">
        <v>2016</v>
      </c>
      <c r="D40" s="27" t="s">
        <v>31</v>
      </c>
      <c r="E40" s="27" t="s">
        <v>32</v>
      </c>
      <c r="F40" s="42" t="str" cm="1">
        <f t="array" ref="F40">_xlfn.IFS(E40="Bandung","BDG",E40="Surabaya","SBY",E40="Jakarta","JKT")</f>
        <v>JKT</v>
      </c>
      <c r="G40" s="27" t="s">
        <v>33</v>
      </c>
      <c r="H40" s="27" t="s">
        <v>34</v>
      </c>
      <c r="I40" s="27" t="s">
        <v>35</v>
      </c>
      <c r="J40" s="26">
        <v>42517</v>
      </c>
      <c r="K40" s="26">
        <v>42517</v>
      </c>
      <c r="L40" s="27">
        <f t="shared" si="2"/>
        <v>1</v>
      </c>
      <c r="M40" s="45">
        <v>52800</v>
      </c>
      <c r="N40" s="45">
        <v>83700</v>
      </c>
      <c r="O40" s="27">
        <v>91</v>
      </c>
      <c r="P40" s="46">
        <f t="shared" si="3"/>
        <v>0.36917562724014336</v>
      </c>
      <c r="Q40" s="27">
        <v>29</v>
      </c>
      <c r="R40" s="44">
        <f t="shared" si="0"/>
        <v>2427300</v>
      </c>
      <c r="S40" s="29">
        <v>0.03</v>
      </c>
      <c r="T40" s="44">
        <f t="shared" si="4"/>
        <v>2354481</v>
      </c>
      <c r="U40" s="44">
        <f t="shared" si="5"/>
        <v>823281</v>
      </c>
      <c r="V40" s="44"/>
    </row>
    <row r="41" spans="1:22" ht="14.5" x14ac:dyDescent="0.35">
      <c r="A41" s="47" t="str">
        <f t="shared" si="1"/>
        <v>JKT-WR-E1028-2017</v>
      </c>
      <c r="B41" s="26">
        <v>42819</v>
      </c>
      <c r="C41" s="42">
        <v>2017</v>
      </c>
      <c r="D41" s="27" t="s">
        <v>31</v>
      </c>
      <c r="E41" s="27" t="s">
        <v>32</v>
      </c>
      <c r="F41" s="42" t="str" cm="1">
        <f t="array" ref="F41">_xlfn.IFS(E41="Bandung","BDG",E41="Surabaya","SBY",E41="Jakarta","JKT")</f>
        <v>JKT</v>
      </c>
      <c r="G41" s="27" t="s">
        <v>33</v>
      </c>
      <c r="H41" s="27" t="s">
        <v>61</v>
      </c>
      <c r="I41" s="27" t="s">
        <v>35</v>
      </c>
      <c r="J41" s="26">
        <v>42821</v>
      </c>
      <c r="K41" s="26">
        <v>42821</v>
      </c>
      <c r="L41" s="27">
        <f t="shared" si="2"/>
        <v>2</v>
      </c>
      <c r="M41" s="45">
        <v>79950</v>
      </c>
      <c r="N41" s="45">
        <v>129000</v>
      </c>
      <c r="O41" s="27">
        <v>222</v>
      </c>
      <c r="P41" s="46">
        <f t="shared" si="3"/>
        <v>0.38023255813953488</v>
      </c>
      <c r="Q41" s="27">
        <v>6</v>
      </c>
      <c r="R41" s="44">
        <f t="shared" si="0"/>
        <v>774000</v>
      </c>
      <c r="S41" s="29">
        <v>0.04</v>
      </c>
      <c r="T41" s="44">
        <f t="shared" si="4"/>
        <v>743040</v>
      </c>
      <c r="U41" s="44">
        <f t="shared" si="5"/>
        <v>263340</v>
      </c>
      <c r="V41" s="44"/>
    </row>
    <row r="42" spans="1:22" ht="14.5" x14ac:dyDescent="0.35">
      <c r="A42" s="47" t="str">
        <f t="shared" si="1"/>
        <v>JKT-WR-E1028-2017</v>
      </c>
      <c r="B42" s="26">
        <v>42819</v>
      </c>
      <c r="C42" s="42">
        <v>2017</v>
      </c>
      <c r="D42" s="27" t="s">
        <v>31</v>
      </c>
      <c r="E42" s="27" t="s">
        <v>32</v>
      </c>
      <c r="F42" s="42" t="str" cm="1">
        <f t="array" ref="F42">_xlfn.IFS(E42="Bandung","BDG",E42="Surabaya","SBY",E42="Jakarta","JKT")</f>
        <v>JKT</v>
      </c>
      <c r="G42" s="27" t="s">
        <v>33</v>
      </c>
      <c r="H42" s="27" t="s">
        <v>146</v>
      </c>
      <c r="I42" s="27" t="s">
        <v>39</v>
      </c>
      <c r="J42" s="26">
        <v>42823</v>
      </c>
      <c r="K42" s="26">
        <v>42823</v>
      </c>
      <c r="L42" s="27">
        <f t="shared" si="2"/>
        <v>4</v>
      </c>
      <c r="M42" s="45">
        <v>34350</v>
      </c>
      <c r="N42" s="45">
        <v>53700</v>
      </c>
      <c r="O42" s="27">
        <v>125</v>
      </c>
      <c r="P42" s="46">
        <f t="shared" si="3"/>
        <v>0.36033519553072624</v>
      </c>
      <c r="Q42" s="27">
        <v>30</v>
      </c>
      <c r="R42" s="44">
        <f t="shared" si="0"/>
        <v>1611000</v>
      </c>
      <c r="S42" s="29">
        <v>0.01</v>
      </c>
      <c r="T42" s="44">
        <f t="shared" si="4"/>
        <v>1594890</v>
      </c>
      <c r="U42" s="44">
        <f t="shared" si="5"/>
        <v>564390</v>
      </c>
      <c r="V42" s="44"/>
    </row>
    <row r="43" spans="1:22" ht="14.5" x14ac:dyDescent="0.35">
      <c r="A43" s="47" t="str">
        <f t="shared" si="1"/>
        <v>JKT-WR-E1028-2018</v>
      </c>
      <c r="B43" s="26">
        <v>43113</v>
      </c>
      <c r="C43" s="42">
        <v>2018</v>
      </c>
      <c r="D43" s="27" t="s">
        <v>31</v>
      </c>
      <c r="E43" s="27" t="s">
        <v>32</v>
      </c>
      <c r="F43" s="42" t="str" cm="1">
        <f t="array" ref="F43">_xlfn.IFS(E43="Bandung","BDG",E43="Surabaya","SBY",E43="Jakarta","JKT")</f>
        <v>JKT</v>
      </c>
      <c r="G43" s="27" t="s">
        <v>33</v>
      </c>
      <c r="H43" s="27" t="s">
        <v>101</v>
      </c>
      <c r="I43" s="27" t="s">
        <v>35</v>
      </c>
      <c r="J43" s="26">
        <v>43115</v>
      </c>
      <c r="K43" s="26">
        <v>43115</v>
      </c>
      <c r="L43" s="27">
        <f t="shared" si="2"/>
        <v>2</v>
      </c>
      <c r="M43" s="45">
        <v>594600</v>
      </c>
      <c r="N43" s="45">
        <v>2287200</v>
      </c>
      <c r="O43" s="27">
        <v>436</v>
      </c>
      <c r="P43" s="46">
        <f t="shared" si="3"/>
        <v>0.74003147953830006</v>
      </c>
      <c r="Q43" s="27">
        <v>48</v>
      </c>
      <c r="R43" s="44">
        <f t="shared" si="0"/>
        <v>109785600</v>
      </c>
      <c r="S43" s="29">
        <v>0.04</v>
      </c>
      <c r="T43" s="44">
        <f t="shared" si="4"/>
        <v>105394176</v>
      </c>
      <c r="U43" s="44">
        <f t="shared" si="5"/>
        <v>76853376</v>
      </c>
      <c r="V43" s="44"/>
    </row>
    <row r="44" spans="1:22" ht="14.5" x14ac:dyDescent="0.35">
      <c r="A44" s="47" t="str">
        <f t="shared" si="1"/>
        <v>JKT-WR-E1028-2018</v>
      </c>
      <c r="B44" s="26">
        <v>43128</v>
      </c>
      <c r="C44" s="42">
        <v>2018</v>
      </c>
      <c r="D44" s="27" t="s">
        <v>31</v>
      </c>
      <c r="E44" s="27" t="s">
        <v>32</v>
      </c>
      <c r="F44" s="42" t="str" cm="1">
        <f t="array" ref="F44">_xlfn.IFS(E44="Bandung","BDG",E44="Surabaya","SBY",E44="Jakarta","JKT")</f>
        <v>JKT</v>
      </c>
      <c r="G44" s="27" t="s">
        <v>33</v>
      </c>
      <c r="H44" s="27" t="s">
        <v>92</v>
      </c>
      <c r="I44" s="27" t="s">
        <v>39</v>
      </c>
      <c r="J44" s="26">
        <v>43129</v>
      </c>
      <c r="K44" s="26">
        <v>43129</v>
      </c>
      <c r="L44" s="27">
        <f t="shared" si="2"/>
        <v>1</v>
      </c>
      <c r="M44" s="45">
        <v>37800</v>
      </c>
      <c r="N44" s="45">
        <v>60000</v>
      </c>
      <c r="O44" s="27">
        <v>286</v>
      </c>
      <c r="P44" s="46">
        <f t="shared" si="3"/>
        <v>0.37</v>
      </c>
      <c r="Q44" s="27">
        <v>36</v>
      </c>
      <c r="R44" s="44">
        <f t="shared" si="0"/>
        <v>2160000</v>
      </c>
      <c r="S44" s="29">
        <v>0.01</v>
      </c>
      <c r="T44" s="44">
        <f t="shared" si="4"/>
        <v>2138400</v>
      </c>
      <c r="U44" s="44">
        <f t="shared" si="5"/>
        <v>777600</v>
      </c>
      <c r="V44" s="44"/>
    </row>
    <row r="45" spans="1:22" ht="14.5" x14ac:dyDescent="0.35">
      <c r="A45" s="47" t="str">
        <f t="shared" si="1"/>
        <v>JKT-WR-E1028-2018</v>
      </c>
      <c r="B45" s="26">
        <v>43130</v>
      </c>
      <c r="C45" s="42">
        <v>2018</v>
      </c>
      <c r="D45" s="27" t="s">
        <v>31</v>
      </c>
      <c r="E45" s="27" t="s">
        <v>32</v>
      </c>
      <c r="F45" s="42" t="str" cm="1">
        <f t="array" ref="F45">_xlfn.IFS(E45="Bandung","BDG",E45="Surabaya","SBY",E45="Jakarta","JKT")</f>
        <v>JKT</v>
      </c>
      <c r="G45" s="27" t="s">
        <v>33</v>
      </c>
      <c r="H45" s="27" t="s">
        <v>142</v>
      </c>
      <c r="I45" s="27" t="s">
        <v>35</v>
      </c>
      <c r="J45" s="26">
        <v>43102</v>
      </c>
      <c r="K45" s="26">
        <v>43132</v>
      </c>
      <c r="L45" s="27">
        <f t="shared" si="2"/>
        <v>2</v>
      </c>
      <c r="M45" s="45">
        <v>57600</v>
      </c>
      <c r="N45" s="45">
        <v>94500</v>
      </c>
      <c r="O45" s="27">
        <v>182</v>
      </c>
      <c r="P45" s="46">
        <f t="shared" si="3"/>
        <v>0.39047619047619048</v>
      </c>
      <c r="Q45" s="27">
        <v>8</v>
      </c>
      <c r="R45" s="44">
        <f t="shared" si="0"/>
        <v>756000</v>
      </c>
      <c r="S45" s="29">
        <v>0.01</v>
      </c>
      <c r="T45" s="44">
        <f t="shared" si="4"/>
        <v>748440</v>
      </c>
      <c r="U45" s="44">
        <f t="shared" si="5"/>
        <v>287640</v>
      </c>
      <c r="V45" s="44"/>
    </row>
    <row r="46" spans="1:22" ht="14.5" x14ac:dyDescent="0.35">
      <c r="A46" s="47" t="str">
        <f t="shared" si="1"/>
        <v>JKT-WR-E1028-2020</v>
      </c>
      <c r="B46" s="26">
        <v>43870</v>
      </c>
      <c r="C46" s="42">
        <v>2020</v>
      </c>
      <c r="D46" s="27" t="s">
        <v>31</v>
      </c>
      <c r="E46" s="27" t="s">
        <v>32</v>
      </c>
      <c r="F46" s="42" t="str" cm="1">
        <f t="array" ref="F46">_xlfn.IFS(E46="Bandung","BDG",E46="Surabaya","SBY",E46="Jakarta","JKT")</f>
        <v>JKT</v>
      </c>
      <c r="G46" s="27" t="s">
        <v>33</v>
      </c>
      <c r="H46" s="27" t="s">
        <v>206</v>
      </c>
      <c r="I46" s="27" t="s">
        <v>35</v>
      </c>
      <c r="J46" s="26">
        <v>43871</v>
      </c>
      <c r="K46" s="26">
        <v>44106</v>
      </c>
      <c r="L46" s="27">
        <f t="shared" si="2"/>
        <v>236</v>
      </c>
      <c r="M46" s="45">
        <v>817800</v>
      </c>
      <c r="N46" s="45">
        <v>1514550</v>
      </c>
      <c r="O46" s="27">
        <v>190</v>
      </c>
      <c r="P46" s="46">
        <f t="shared" si="3"/>
        <v>0.46003763494107158</v>
      </c>
      <c r="Q46" s="27">
        <v>29</v>
      </c>
      <c r="R46" s="44">
        <f t="shared" si="0"/>
        <v>43921950</v>
      </c>
      <c r="S46" s="29">
        <v>0.05</v>
      </c>
      <c r="T46" s="44">
        <f t="shared" si="4"/>
        <v>41725852.5</v>
      </c>
      <c r="U46" s="44">
        <f t="shared" si="5"/>
        <v>18009652.5</v>
      </c>
      <c r="V46" s="44"/>
    </row>
    <row r="47" spans="1:22" ht="14.5" x14ac:dyDescent="0.35">
      <c r="A47" s="47" t="str">
        <f t="shared" si="1"/>
        <v>JKT-WR-E1028-2020</v>
      </c>
      <c r="B47" s="26">
        <v>43870</v>
      </c>
      <c r="C47" s="42">
        <v>2020</v>
      </c>
      <c r="D47" s="27" t="s">
        <v>31</v>
      </c>
      <c r="E47" s="27" t="s">
        <v>32</v>
      </c>
      <c r="F47" s="42" t="str" cm="1">
        <f t="array" ref="F47">_xlfn.IFS(E47="Bandung","BDG",E47="Surabaya","SBY",E47="Jakarta","JKT")</f>
        <v>JKT</v>
      </c>
      <c r="G47" s="27" t="s">
        <v>33</v>
      </c>
      <c r="H47" s="27" t="s">
        <v>364</v>
      </c>
      <c r="I47" s="27" t="s">
        <v>39</v>
      </c>
      <c r="J47" s="26">
        <v>43870</v>
      </c>
      <c r="K47" s="26">
        <v>44076</v>
      </c>
      <c r="L47" s="27">
        <f t="shared" si="2"/>
        <v>206</v>
      </c>
      <c r="M47" s="45">
        <v>38850</v>
      </c>
      <c r="N47" s="45">
        <v>59700</v>
      </c>
      <c r="O47" s="27">
        <v>146</v>
      </c>
      <c r="P47" s="46">
        <f t="shared" si="3"/>
        <v>0.34924623115577891</v>
      </c>
      <c r="Q47" s="27">
        <v>4</v>
      </c>
      <c r="R47" s="44">
        <f t="shared" si="0"/>
        <v>238800</v>
      </c>
      <c r="S47" s="29">
        <v>0.09</v>
      </c>
      <c r="T47" s="44">
        <f t="shared" si="4"/>
        <v>217308</v>
      </c>
      <c r="U47" s="44">
        <f t="shared" si="5"/>
        <v>61908</v>
      </c>
      <c r="V47" s="44"/>
    </row>
    <row r="48" spans="1:22" ht="14.5" x14ac:dyDescent="0.35">
      <c r="A48" s="47" t="str">
        <f t="shared" si="1"/>
        <v>SBY-WH-E1031-2019</v>
      </c>
      <c r="B48" s="26">
        <v>43762</v>
      </c>
      <c r="C48" s="42">
        <v>2019</v>
      </c>
      <c r="D48" s="27" t="s">
        <v>699</v>
      </c>
      <c r="E48" s="27" t="s">
        <v>41</v>
      </c>
      <c r="F48" s="42" t="str" cm="1">
        <f t="array" ref="F48">_xlfn.IFS(E48="Bandung","BDG",E48="Surabaya","SBY",E48="Jakarta","JKT")</f>
        <v>SBY</v>
      </c>
      <c r="G48" s="27" t="s">
        <v>48</v>
      </c>
      <c r="H48" s="27" t="s">
        <v>156</v>
      </c>
      <c r="I48" s="27" t="s">
        <v>39</v>
      </c>
      <c r="J48" s="26">
        <v>43763</v>
      </c>
      <c r="K48" s="26">
        <v>43763</v>
      </c>
      <c r="L48" s="27">
        <f t="shared" si="2"/>
        <v>1</v>
      </c>
      <c r="M48" s="45">
        <v>52200</v>
      </c>
      <c r="N48" s="45">
        <v>81450</v>
      </c>
      <c r="O48" s="27">
        <v>154</v>
      </c>
      <c r="P48" s="46">
        <f t="shared" si="3"/>
        <v>0.35911602209944754</v>
      </c>
      <c r="Q48" s="27">
        <v>2</v>
      </c>
      <c r="R48" s="44">
        <f t="shared" si="0"/>
        <v>162900</v>
      </c>
      <c r="S48" s="29">
        <v>0.03</v>
      </c>
      <c r="T48" s="44">
        <f t="shared" si="4"/>
        <v>158013</v>
      </c>
      <c r="U48" s="44">
        <f t="shared" si="5"/>
        <v>53613</v>
      </c>
      <c r="V48" s="44"/>
    </row>
    <row r="49" spans="1:22" ht="14.5" x14ac:dyDescent="0.35">
      <c r="A49" s="47" t="str">
        <f t="shared" si="1"/>
        <v>JKT-WS-E1028-2016</v>
      </c>
      <c r="B49" s="26">
        <v>42673</v>
      </c>
      <c r="C49" s="42">
        <v>2016</v>
      </c>
      <c r="D49" s="27" t="s">
        <v>207</v>
      </c>
      <c r="E49" s="27" t="s">
        <v>32</v>
      </c>
      <c r="F49" s="42" t="str" cm="1">
        <f t="array" ref="F49">_xlfn.IFS(E49="Bandung","BDG",E49="Surabaya","SBY",E49="Jakarta","JKT")</f>
        <v>JKT</v>
      </c>
      <c r="G49" s="27" t="s">
        <v>33</v>
      </c>
      <c r="H49" s="27" t="s">
        <v>72</v>
      </c>
      <c r="I49" s="27" t="s">
        <v>73</v>
      </c>
      <c r="J49" s="26">
        <v>42675</v>
      </c>
      <c r="K49" s="26">
        <v>42380</v>
      </c>
      <c r="L49" s="27">
        <f t="shared" si="2"/>
        <v>-293</v>
      </c>
      <c r="M49" s="45">
        <v>51300</v>
      </c>
      <c r="N49" s="45">
        <v>125100</v>
      </c>
      <c r="O49" s="27">
        <v>122</v>
      </c>
      <c r="P49" s="46">
        <f t="shared" si="3"/>
        <v>0.58992805755395683</v>
      </c>
      <c r="Q49" s="27">
        <v>15</v>
      </c>
      <c r="R49" s="44">
        <f t="shared" si="0"/>
        <v>1876500</v>
      </c>
      <c r="S49" s="29">
        <v>0</v>
      </c>
      <c r="T49" s="44">
        <f t="shared" si="4"/>
        <v>1876500</v>
      </c>
      <c r="U49" s="44">
        <f t="shared" si="5"/>
        <v>1107000</v>
      </c>
      <c r="V49" s="44"/>
    </row>
    <row r="50" spans="1:22" ht="14.5" x14ac:dyDescent="0.35">
      <c r="A50" s="47" t="str">
        <f t="shared" si="1"/>
        <v>SBY-WN-E1038-2018</v>
      </c>
      <c r="B50" s="26">
        <v>43267</v>
      </c>
      <c r="C50" s="42">
        <v>2018</v>
      </c>
      <c r="D50" s="27" t="s">
        <v>555</v>
      </c>
      <c r="E50" s="27" t="s">
        <v>41</v>
      </c>
      <c r="F50" s="42" t="str" cm="1">
        <f t="array" ref="F50">_xlfn.IFS(E50="Bandung","BDG",E50="Surabaya","SBY",E50="Jakarta","JKT")</f>
        <v>SBY</v>
      </c>
      <c r="G50" s="27" t="s">
        <v>98</v>
      </c>
      <c r="H50" s="27" t="s">
        <v>370</v>
      </c>
      <c r="I50" s="27" t="s">
        <v>39</v>
      </c>
      <c r="J50" s="26">
        <v>43269</v>
      </c>
      <c r="K50" s="26">
        <v>43269</v>
      </c>
      <c r="L50" s="27">
        <f t="shared" si="2"/>
        <v>2</v>
      </c>
      <c r="M50" s="45">
        <v>32400.000000000004</v>
      </c>
      <c r="N50" s="45">
        <v>57750</v>
      </c>
      <c r="O50" s="27">
        <v>99</v>
      </c>
      <c r="P50" s="46">
        <f t="shared" si="3"/>
        <v>0.43896103896103889</v>
      </c>
      <c r="Q50" s="27">
        <v>4</v>
      </c>
      <c r="R50" s="44">
        <f t="shared" si="0"/>
        <v>231000</v>
      </c>
      <c r="S50" s="29">
        <v>0.09</v>
      </c>
      <c r="T50" s="44">
        <f t="shared" si="4"/>
        <v>210210</v>
      </c>
      <c r="U50" s="44">
        <f t="shared" si="5"/>
        <v>80609.999999999985</v>
      </c>
      <c r="V50" s="44"/>
    </row>
    <row r="51" spans="1:22" ht="14.5" x14ac:dyDescent="0.35">
      <c r="A51" s="47" t="str">
        <f t="shared" si="1"/>
        <v>SBY-WM-E1037-2016</v>
      </c>
      <c r="B51" s="26">
        <v>42688</v>
      </c>
      <c r="C51" s="42">
        <v>2016</v>
      </c>
      <c r="D51" s="27" t="s">
        <v>226</v>
      </c>
      <c r="E51" s="27" t="s">
        <v>41</v>
      </c>
      <c r="F51" s="42" t="str" cm="1">
        <f t="array" ref="F51">_xlfn.IFS(E51="Bandung","BDG",E51="Surabaya","SBY",E51="Jakarta","JKT")</f>
        <v>SBY</v>
      </c>
      <c r="G51" s="27" t="s">
        <v>83</v>
      </c>
      <c r="H51" s="27" t="s">
        <v>227</v>
      </c>
      <c r="I51" s="27" t="s">
        <v>39</v>
      </c>
      <c r="J51" s="26" t="s">
        <v>1579</v>
      </c>
      <c r="K51" s="26">
        <v>42690</v>
      </c>
      <c r="L51" s="27">
        <f t="shared" si="2"/>
        <v>2</v>
      </c>
      <c r="M51" s="45">
        <v>22950</v>
      </c>
      <c r="N51" s="45">
        <v>41700</v>
      </c>
      <c r="O51" s="27">
        <v>365</v>
      </c>
      <c r="P51" s="46">
        <f t="shared" si="3"/>
        <v>0.44964028776978415</v>
      </c>
      <c r="Q51" s="27">
        <v>40</v>
      </c>
      <c r="R51" s="44">
        <f t="shared" si="0"/>
        <v>1668000</v>
      </c>
      <c r="S51" s="29">
        <v>0.03</v>
      </c>
      <c r="T51" s="44">
        <f t="shared" si="4"/>
        <v>1617960</v>
      </c>
      <c r="U51" s="44">
        <f t="shared" si="5"/>
        <v>699960</v>
      </c>
      <c r="V51" s="44"/>
    </row>
    <row r="52" spans="1:22" ht="14.5" x14ac:dyDescent="0.35">
      <c r="A52" s="47" t="str">
        <f t="shared" si="1"/>
        <v>SBY-WM-E1037-2017</v>
      </c>
      <c r="B52" s="26">
        <v>42797</v>
      </c>
      <c r="C52" s="42">
        <v>2017</v>
      </c>
      <c r="D52" s="27" t="s">
        <v>226</v>
      </c>
      <c r="E52" s="27" t="s">
        <v>41</v>
      </c>
      <c r="F52" s="42" t="str" cm="1">
        <f t="array" ref="F52">_xlfn.IFS(E52="Bandung","BDG",E52="Surabaya","SBY",E52="Jakarta","JKT")</f>
        <v>SBY</v>
      </c>
      <c r="G52" s="27" t="s">
        <v>83</v>
      </c>
      <c r="H52" s="27" t="s">
        <v>76</v>
      </c>
      <c r="I52" s="27" t="s">
        <v>35</v>
      </c>
      <c r="J52" s="26">
        <v>42799</v>
      </c>
      <c r="K52" s="26">
        <v>42858</v>
      </c>
      <c r="L52" s="27">
        <f t="shared" si="2"/>
        <v>61</v>
      </c>
      <c r="M52" s="45">
        <v>68850</v>
      </c>
      <c r="N52" s="45">
        <v>109200</v>
      </c>
      <c r="O52" s="27">
        <v>223</v>
      </c>
      <c r="P52" s="46">
        <f t="shared" si="3"/>
        <v>0.36950549450549453</v>
      </c>
      <c r="Q52" s="27">
        <v>3</v>
      </c>
      <c r="R52" s="44">
        <f t="shared" si="0"/>
        <v>327600</v>
      </c>
      <c r="S52" s="29">
        <v>0.01</v>
      </c>
      <c r="T52" s="44">
        <f t="shared" si="4"/>
        <v>324324</v>
      </c>
      <c r="U52" s="44">
        <f t="shared" si="5"/>
        <v>117774</v>
      </c>
      <c r="V52" s="44"/>
    </row>
    <row r="53" spans="1:22" ht="14.5" x14ac:dyDescent="0.35">
      <c r="A53" s="47" t="str">
        <f t="shared" si="1"/>
        <v>JKT-WM-E1028-2017</v>
      </c>
      <c r="B53" s="26">
        <v>42767</v>
      </c>
      <c r="C53" s="42">
        <v>2017</v>
      </c>
      <c r="D53" s="27" t="s">
        <v>288</v>
      </c>
      <c r="E53" s="27" t="s">
        <v>32</v>
      </c>
      <c r="F53" s="42" t="str" cm="1">
        <f t="array" ref="F53">_xlfn.IFS(E53="Bandung","BDG",E53="Surabaya","SBY",E53="Jakarta","JKT")</f>
        <v>JKT</v>
      </c>
      <c r="G53" s="27" t="s">
        <v>33</v>
      </c>
      <c r="H53" s="27" t="s">
        <v>51</v>
      </c>
      <c r="I53" s="27" t="s">
        <v>39</v>
      </c>
      <c r="J53" s="26">
        <v>42796</v>
      </c>
      <c r="K53" s="26">
        <v>42769</v>
      </c>
      <c r="L53" s="27">
        <f t="shared" si="2"/>
        <v>2</v>
      </c>
      <c r="M53" s="45">
        <v>16350.000000000002</v>
      </c>
      <c r="N53" s="45">
        <v>39000</v>
      </c>
      <c r="O53" s="27">
        <v>319</v>
      </c>
      <c r="P53" s="46">
        <f t="shared" si="3"/>
        <v>0.58076923076923082</v>
      </c>
      <c r="Q53" s="27">
        <v>36</v>
      </c>
      <c r="R53" s="44">
        <f t="shared" si="0"/>
        <v>1404000</v>
      </c>
      <c r="S53" s="29">
        <v>0</v>
      </c>
      <c r="T53" s="44">
        <f t="shared" si="4"/>
        <v>1404000</v>
      </c>
      <c r="U53" s="44">
        <f t="shared" si="5"/>
        <v>815399.99999999988</v>
      </c>
      <c r="V53" s="44"/>
    </row>
    <row r="54" spans="1:22" ht="14.5" x14ac:dyDescent="0.35">
      <c r="A54" s="47" t="str">
        <f t="shared" si="1"/>
        <v>JKT-WM-E1028-2019</v>
      </c>
      <c r="B54" s="26">
        <v>43538</v>
      </c>
      <c r="C54" s="42">
        <v>2019</v>
      </c>
      <c r="D54" s="27" t="s">
        <v>288</v>
      </c>
      <c r="E54" s="27" t="s">
        <v>32</v>
      </c>
      <c r="F54" s="42" t="str" cm="1">
        <f t="array" ref="F54">_xlfn.IFS(E54="Bandung","BDG",E54="Surabaya","SBY",E54="Jakarta","JKT")</f>
        <v>JKT</v>
      </c>
      <c r="G54" s="27" t="s">
        <v>33</v>
      </c>
      <c r="H54" s="27" t="s">
        <v>67</v>
      </c>
      <c r="I54" s="27" t="s">
        <v>35</v>
      </c>
      <c r="J54" s="26" t="s">
        <v>1722</v>
      </c>
      <c r="K54" s="26">
        <v>43539</v>
      </c>
      <c r="L54" s="27">
        <f t="shared" si="2"/>
        <v>1</v>
      </c>
      <c r="M54" s="45">
        <v>540300</v>
      </c>
      <c r="N54" s="45">
        <v>871500</v>
      </c>
      <c r="O54" s="27">
        <v>94</v>
      </c>
      <c r="P54" s="46">
        <f t="shared" si="3"/>
        <v>0.38003442340791738</v>
      </c>
      <c r="Q54" s="27">
        <v>27</v>
      </c>
      <c r="R54" s="44">
        <f t="shared" si="0"/>
        <v>23530500</v>
      </c>
      <c r="S54" s="29">
        <v>7.0000000000000007E-2</v>
      </c>
      <c r="T54" s="44">
        <f t="shared" si="4"/>
        <v>21883365</v>
      </c>
      <c r="U54" s="44">
        <f t="shared" si="5"/>
        <v>7295265</v>
      </c>
      <c r="V54" s="44"/>
    </row>
    <row r="55" spans="1:22" ht="14.5" x14ac:dyDescent="0.35">
      <c r="A55" s="47" t="str">
        <f t="shared" si="1"/>
        <v>SBY-WY-E1036-2017</v>
      </c>
      <c r="B55" s="26">
        <v>42863</v>
      </c>
      <c r="C55" s="42">
        <v>2017</v>
      </c>
      <c r="D55" s="27" t="s">
        <v>352</v>
      </c>
      <c r="E55" s="27" t="s">
        <v>41</v>
      </c>
      <c r="F55" s="42" t="str" cm="1">
        <f t="array" ref="F55">_xlfn.IFS(E55="Bandung","BDG",E55="Surabaya","SBY",E55="Jakarta","JKT")</f>
        <v>SBY</v>
      </c>
      <c r="G55" s="27" t="s">
        <v>78</v>
      </c>
      <c r="H55" s="27" t="s">
        <v>223</v>
      </c>
      <c r="I55" s="27" t="s">
        <v>46</v>
      </c>
      <c r="J55" s="26">
        <v>42865</v>
      </c>
      <c r="K55" s="26">
        <v>43013</v>
      </c>
      <c r="L55" s="27">
        <f t="shared" si="2"/>
        <v>150</v>
      </c>
      <c r="M55" s="45">
        <v>1151850</v>
      </c>
      <c r="N55" s="45">
        <v>1799850</v>
      </c>
      <c r="O55" s="27">
        <v>49</v>
      </c>
      <c r="P55" s="46">
        <f t="shared" si="3"/>
        <v>0.36003000250020833</v>
      </c>
      <c r="Q55" s="27">
        <v>13</v>
      </c>
      <c r="R55" s="44">
        <f t="shared" si="0"/>
        <v>23398050</v>
      </c>
      <c r="S55" s="29">
        <v>0.04</v>
      </c>
      <c r="T55" s="44">
        <f t="shared" si="4"/>
        <v>22462128</v>
      </c>
      <c r="U55" s="44">
        <f t="shared" si="5"/>
        <v>7488078</v>
      </c>
      <c r="V55" s="44"/>
    </row>
    <row r="56" spans="1:22" ht="14.5" x14ac:dyDescent="0.35">
      <c r="A56" s="47" t="str">
        <f t="shared" si="1"/>
        <v>SBY-WR-E1037-2016</v>
      </c>
      <c r="B56" s="26">
        <v>42695</v>
      </c>
      <c r="C56" s="42">
        <v>2016</v>
      </c>
      <c r="D56" s="27" t="s">
        <v>233</v>
      </c>
      <c r="E56" s="27" t="s">
        <v>41</v>
      </c>
      <c r="F56" s="42" t="str" cm="1">
        <f t="array" ref="F56">_xlfn.IFS(E56="Bandung","BDG",E56="Surabaya","SBY",E56="Jakarta","JKT")</f>
        <v>SBY</v>
      </c>
      <c r="G56" s="27" t="s">
        <v>83</v>
      </c>
      <c r="H56" s="27" t="s">
        <v>234</v>
      </c>
      <c r="I56" s="27" t="s">
        <v>35</v>
      </c>
      <c r="J56" s="26">
        <v>42696</v>
      </c>
      <c r="K56" s="26">
        <v>42696</v>
      </c>
      <c r="L56" s="27">
        <f t="shared" si="2"/>
        <v>1</v>
      </c>
      <c r="M56" s="45">
        <v>275700</v>
      </c>
      <c r="N56" s="45">
        <v>437550</v>
      </c>
      <c r="O56" s="27">
        <v>105</v>
      </c>
      <c r="P56" s="46">
        <f t="shared" si="3"/>
        <v>0.36990058279053822</v>
      </c>
      <c r="Q56" s="27">
        <v>8</v>
      </c>
      <c r="R56" s="44">
        <f t="shared" si="0"/>
        <v>3500400</v>
      </c>
      <c r="S56" s="29">
        <v>0.02</v>
      </c>
      <c r="T56" s="44">
        <f t="shared" si="4"/>
        <v>3430392</v>
      </c>
      <c r="U56" s="44">
        <f t="shared" si="5"/>
        <v>1224792</v>
      </c>
      <c r="V56" s="44"/>
    </row>
    <row r="57" spans="1:22" ht="14.5" x14ac:dyDescent="0.35">
      <c r="A57" s="47" t="str">
        <f t="shared" si="1"/>
        <v>JKT-WN-E1029-2017</v>
      </c>
      <c r="B57" s="26">
        <v>42998</v>
      </c>
      <c r="C57" s="42">
        <v>2017</v>
      </c>
      <c r="D57" s="27" t="s">
        <v>431</v>
      </c>
      <c r="E57" s="27" t="s">
        <v>32</v>
      </c>
      <c r="F57" s="42" t="str" cm="1">
        <f t="array" ref="F57">_xlfn.IFS(E57="Bandung","BDG",E57="Surabaya","SBY",E57="Jakarta","JKT")</f>
        <v>JKT</v>
      </c>
      <c r="G57" s="27" t="s">
        <v>37</v>
      </c>
      <c r="H57" s="27" t="s">
        <v>229</v>
      </c>
      <c r="I57" s="27" t="s">
        <v>35</v>
      </c>
      <c r="J57" s="26" t="s">
        <v>1631</v>
      </c>
      <c r="K57" s="26">
        <v>43000</v>
      </c>
      <c r="L57" s="27">
        <f t="shared" si="2"/>
        <v>2</v>
      </c>
      <c r="M57" s="45">
        <v>33900</v>
      </c>
      <c r="N57" s="45">
        <v>53700</v>
      </c>
      <c r="O57" s="27">
        <v>343</v>
      </c>
      <c r="P57" s="46">
        <f t="shared" si="3"/>
        <v>0.36871508379888268</v>
      </c>
      <c r="Q57" s="27">
        <v>44</v>
      </c>
      <c r="R57" s="44">
        <f t="shared" si="0"/>
        <v>2362800</v>
      </c>
      <c r="S57" s="29">
        <v>0.06</v>
      </c>
      <c r="T57" s="44">
        <f t="shared" si="4"/>
        <v>2221032</v>
      </c>
      <c r="U57" s="44">
        <f t="shared" si="5"/>
        <v>729432</v>
      </c>
      <c r="V57" s="44"/>
    </row>
    <row r="58" spans="1:22" ht="14.5" x14ac:dyDescent="0.35">
      <c r="A58" s="47" t="str">
        <f t="shared" si="1"/>
        <v>JKT-WN-E1029-2017</v>
      </c>
      <c r="B58" s="26">
        <v>43076</v>
      </c>
      <c r="C58" s="42">
        <v>2017</v>
      </c>
      <c r="D58" s="27" t="s">
        <v>431</v>
      </c>
      <c r="E58" s="27" t="s">
        <v>32</v>
      </c>
      <c r="F58" s="42" t="str" cm="1">
        <f t="array" ref="F58">_xlfn.IFS(E58="Bandung","BDG",E58="Surabaya","SBY",E58="Jakarta","JKT")</f>
        <v>JKT</v>
      </c>
      <c r="G58" s="27" t="s">
        <v>37</v>
      </c>
      <c r="H58" s="27" t="s">
        <v>132</v>
      </c>
      <c r="I58" s="27" t="s">
        <v>73</v>
      </c>
      <c r="J58" s="26">
        <v>43078</v>
      </c>
      <c r="K58" s="26">
        <v>42990</v>
      </c>
      <c r="L58" s="27">
        <f t="shared" si="2"/>
        <v>-86</v>
      </c>
      <c r="M58" s="45">
        <v>82500</v>
      </c>
      <c r="N58" s="45">
        <v>183300</v>
      </c>
      <c r="O58" s="27">
        <v>262</v>
      </c>
      <c r="P58" s="46">
        <f t="shared" si="3"/>
        <v>0.54991816693944351</v>
      </c>
      <c r="Q58" s="27">
        <v>37</v>
      </c>
      <c r="R58" s="44">
        <f t="shared" si="0"/>
        <v>6782100</v>
      </c>
      <c r="S58" s="29">
        <v>0.09</v>
      </c>
      <c r="T58" s="44">
        <f t="shared" si="4"/>
        <v>6171711</v>
      </c>
      <c r="U58" s="44">
        <f t="shared" si="5"/>
        <v>3119211</v>
      </c>
      <c r="V58" s="44"/>
    </row>
    <row r="59" spans="1:22" ht="14.5" x14ac:dyDescent="0.35">
      <c r="A59" s="47" t="str">
        <f t="shared" si="1"/>
        <v>JKT-WN-E1029-2019</v>
      </c>
      <c r="B59" s="26">
        <v>43702</v>
      </c>
      <c r="C59" s="42">
        <v>2019</v>
      </c>
      <c r="D59" s="27" t="s">
        <v>431</v>
      </c>
      <c r="E59" s="27" t="s">
        <v>32</v>
      </c>
      <c r="F59" s="42" t="str" cm="1">
        <f t="array" ref="F59">_xlfn.IFS(E59="Bandung","BDG",E59="Surabaya","SBY",E59="Jakarta","JKT")</f>
        <v>JKT</v>
      </c>
      <c r="G59" s="27" t="s">
        <v>37</v>
      </c>
      <c r="H59" s="27" t="s">
        <v>244</v>
      </c>
      <c r="I59" s="27" t="s">
        <v>35</v>
      </c>
      <c r="J59" s="26">
        <v>43704</v>
      </c>
      <c r="K59" s="26">
        <v>43704</v>
      </c>
      <c r="L59" s="27">
        <f t="shared" si="2"/>
        <v>2</v>
      </c>
      <c r="M59" s="45">
        <v>32700.000000000004</v>
      </c>
      <c r="N59" s="45">
        <v>52800</v>
      </c>
      <c r="O59" s="27">
        <v>197</v>
      </c>
      <c r="P59" s="46">
        <f t="shared" si="3"/>
        <v>0.38068181818181812</v>
      </c>
      <c r="Q59" s="27">
        <v>42</v>
      </c>
      <c r="R59" s="44">
        <f t="shared" si="0"/>
        <v>2217600</v>
      </c>
      <c r="S59" s="29">
        <v>0.04</v>
      </c>
      <c r="T59" s="44">
        <f t="shared" si="4"/>
        <v>2128896</v>
      </c>
      <c r="U59" s="44">
        <f t="shared" si="5"/>
        <v>755495.99999999977</v>
      </c>
      <c r="V59" s="44"/>
    </row>
    <row r="60" spans="1:22" ht="14.5" x14ac:dyDescent="0.35">
      <c r="A60" s="47" t="str">
        <f t="shared" si="1"/>
        <v>SBY-WA-E1036-2016</v>
      </c>
      <c r="B60" s="26">
        <v>42599</v>
      </c>
      <c r="C60" s="42">
        <v>2016</v>
      </c>
      <c r="D60" s="27" t="s">
        <v>114</v>
      </c>
      <c r="E60" s="27" t="s">
        <v>41</v>
      </c>
      <c r="F60" s="42" t="str" cm="1">
        <f t="array" ref="F60">_xlfn.IFS(E60="Bandung","BDG",E60="Surabaya","SBY",E60="Jakarta","JKT")</f>
        <v>SBY</v>
      </c>
      <c r="G60" s="27" t="s">
        <v>78</v>
      </c>
      <c r="H60" s="27" t="s">
        <v>113</v>
      </c>
      <c r="I60" s="27" t="s">
        <v>39</v>
      </c>
      <c r="J60" s="26" t="s">
        <v>1562</v>
      </c>
      <c r="K60" s="26">
        <v>42600</v>
      </c>
      <c r="L60" s="27">
        <f t="shared" si="2"/>
        <v>1</v>
      </c>
      <c r="M60" s="45">
        <v>52050</v>
      </c>
      <c r="N60" s="45">
        <v>100200</v>
      </c>
      <c r="O60" s="27">
        <v>119</v>
      </c>
      <c r="P60" s="46">
        <f t="shared" si="3"/>
        <v>0.48053892215568861</v>
      </c>
      <c r="Q60" s="27">
        <v>2</v>
      </c>
      <c r="R60" s="44">
        <f t="shared" si="0"/>
        <v>200400</v>
      </c>
      <c r="S60" s="29">
        <v>0.01</v>
      </c>
      <c r="T60" s="44">
        <f t="shared" si="4"/>
        <v>198396</v>
      </c>
      <c r="U60" s="44">
        <f t="shared" si="5"/>
        <v>94296</v>
      </c>
      <c r="V60" s="44"/>
    </row>
    <row r="61" spans="1:22" ht="14.5" x14ac:dyDescent="0.35">
      <c r="A61" s="47" t="str">
        <f t="shared" si="1"/>
        <v>SBY-WA-E1036-2016</v>
      </c>
      <c r="B61" s="26">
        <v>42599</v>
      </c>
      <c r="C61" s="42">
        <v>2016</v>
      </c>
      <c r="D61" s="27" t="s">
        <v>114</v>
      </c>
      <c r="E61" s="27" t="s">
        <v>41</v>
      </c>
      <c r="F61" s="42" t="str" cm="1">
        <f t="array" ref="F61">_xlfn.IFS(E61="Bandung","BDG",E61="Surabaya","SBY",E61="Jakarta","JKT")</f>
        <v>SBY</v>
      </c>
      <c r="G61" s="27" t="s">
        <v>78</v>
      </c>
      <c r="H61" s="27" t="s">
        <v>115</v>
      </c>
      <c r="I61" s="27" t="s">
        <v>73</v>
      </c>
      <c r="J61" s="26">
        <v>42600</v>
      </c>
      <c r="K61" s="26">
        <v>42600</v>
      </c>
      <c r="L61" s="27">
        <f t="shared" si="2"/>
        <v>1</v>
      </c>
      <c r="M61" s="45">
        <v>28050</v>
      </c>
      <c r="N61" s="45">
        <v>33379.500000000007</v>
      </c>
      <c r="O61" s="27">
        <v>264</v>
      </c>
      <c r="P61" s="46">
        <f t="shared" si="3"/>
        <v>0.15966386554621867</v>
      </c>
      <c r="Q61" s="27">
        <v>41</v>
      </c>
      <c r="R61" s="44">
        <f t="shared" si="0"/>
        <v>1368559.5000000002</v>
      </c>
      <c r="S61" s="29">
        <v>0.06</v>
      </c>
      <c r="T61" s="44">
        <f t="shared" si="4"/>
        <v>1286445.9300000002</v>
      </c>
      <c r="U61" s="44">
        <f t="shared" si="5"/>
        <v>136395.93000000017</v>
      </c>
      <c r="V61" s="44"/>
    </row>
    <row r="62" spans="1:22" ht="14.5" x14ac:dyDescent="0.35">
      <c r="A62" s="47" t="str">
        <f t="shared" si="1"/>
        <v>SBY-WA-E1036-2018</v>
      </c>
      <c r="B62" s="26">
        <v>43120</v>
      </c>
      <c r="C62" s="42">
        <v>2018</v>
      </c>
      <c r="D62" s="27" t="s">
        <v>114</v>
      </c>
      <c r="E62" s="27" t="s">
        <v>41</v>
      </c>
      <c r="F62" s="42" t="str" cm="1">
        <f t="array" ref="F62">_xlfn.IFS(E62="Bandung","BDG",E62="Surabaya","SBY",E62="Jakarta","JKT")</f>
        <v>SBY</v>
      </c>
      <c r="G62" s="27" t="s">
        <v>78</v>
      </c>
      <c r="H62" s="27" t="s">
        <v>132</v>
      </c>
      <c r="I62" s="27" t="s">
        <v>73</v>
      </c>
      <c r="J62" s="26">
        <v>43122</v>
      </c>
      <c r="K62" s="26">
        <v>43122</v>
      </c>
      <c r="L62" s="27">
        <f t="shared" si="2"/>
        <v>2</v>
      </c>
      <c r="M62" s="45">
        <v>82500</v>
      </c>
      <c r="N62" s="45">
        <v>183300</v>
      </c>
      <c r="O62" s="27">
        <v>225</v>
      </c>
      <c r="P62" s="46">
        <f t="shared" si="3"/>
        <v>0.54991816693944351</v>
      </c>
      <c r="Q62" s="27">
        <v>1</v>
      </c>
      <c r="R62" s="44">
        <f t="shared" si="0"/>
        <v>183300</v>
      </c>
      <c r="S62" s="29">
        <v>0.1</v>
      </c>
      <c r="T62" s="44">
        <f t="shared" si="4"/>
        <v>164970</v>
      </c>
      <c r="U62" s="44">
        <f t="shared" si="5"/>
        <v>82470</v>
      </c>
      <c r="V62" s="44"/>
    </row>
    <row r="63" spans="1:22" ht="14.5" x14ac:dyDescent="0.35">
      <c r="A63" s="47" t="str">
        <f t="shared" si="1"/>
        <v>SBY-WA-E1036-2018</v>
      </c>
      <c r="B63" s="26">
        <v>43318</v>
      </c>
      <c r="C63" s="42">
        <v>2018</v>
      </c>
      <c r="D63" s="27" t="s">
        <v>114</v>
      </c>
      <c r="E63" s="27" t="s">
        <v>41</v>
      </c>
      <c r="F63" s="42" t="str" cm="1">
        <f t="array" ref="F63">_xlfn.IFS(E63="Bandung","BDG",E63="Surabaya","SBY",E63="Jakarta","JKT")</f>
        <v>SBY</v>
      </c>
      <c r="G63" s="27" t="s">
        <v>78</v>
      </c>
      <c r="H63" s="27" t="s">
        <v>161</v>
      </c>
      <c r="I63" s="27" t="s">
        <v>39</v>
      </c>
      <c r="J63" s="26">
        <v>43318</v>
      </c>
      <c r="K63" s="26">
        <v>43259</v>
      </c>
      <c r="L63" s="27">
        <f t="shared" si="2"/>
        <v>-59</v>
      </c>
      <c r="M63" s="45">
        <v>26400</v>
      </c>
      <c r="N63" s="45">
        <v>50700</v>
      </c>
      <c r="O63" s="27">
        <v>70</v>
      </c>
      <c r="P63" s="46">
        <f t="shared" si="3"/>
        <v>0.47928994082840237</v>
      </c>
      <c r="Q63" s="27">
        <v>31</v>
      </c>
      <c r="R63" s="44">
        <f t="shared" si="0"/>
        <v>1571700</v>
      </c>
      <c r="S63" s="29">
        <v>0.04</v>
      </c>
      <c r="T63" s="44">
        <f t="shared" si="4"/>
        <v>1508832</v>
      </c>
      <c r="U63" s="44">
        <f t="shared" si="5"/>
        <v>690432</v>
      </c>
      <c r="V63" s="44"/>
    </row>
    <row r="64" spans="1:22" ht="14.5" x14ac:dyDescent="0.35">
      <c r="A64" s="47" t="str">
        <f t="shared" si="1"/>
        <v>SBY-WM-E1032-2017</v>
      </c>
      <c r="B64" s="26">
        <v>42783</v>
      </c>
      <c r="C64" s="42">
        <v>2017</v>
      </c>
      <c r="D64" s="27" t="s">
        <v>304</v>
      </c>
      <c r="E64" s="27" t="s">
        <v>41</v>
      </c>
      <c r="F64" s="42" t="str" cm="1">
        <f t="array" ref="F64">_xlfn.IFS(E64="Bandung","BDG",E64="Surabaya","SBY",E64="Jakarta","JKT")</f>
        <v>SBY</v>
      </c>
      <c r="G64" s="27" t="s">
        <v>53</v>
      </c>
      <c r="H64" s="27" t="s">
        <v>305</v>
      </c>
      <c r="I64" s="27" t="s">
        <v>39</v>
      </c>
      <c r="J64" s="26">
        <v>42784</v>
      </c>
      <c r="K64" s="26">
        <v>42784</v>
      </c>
      <c r="L64" s="27">
        <f t="shared" si="2"/>
        <v>1</v>
      </c>
      <c r="M64" s="45">
        <v>78300</v>
      </c>
      <c r="N64" s="45">
        <v>147750</v>
      </c>
      <c r="O64" s="27">
        <v>157</v>
      </c>
      <c r="P64" s="46">
        <f t="shared" si="3"/>
        <v>0.4700507614213198</v>
      </c>
      <c r="Q64" s="27">
        <v>27</v>
      </c>
      <c r="R64" s="44">
        <f t="shared" si="0"/>
        <v>3989250</v>
      </c>
      <c r="S64" s="29">
        <v>0.1</v>
      </c>
      <c r="T64" s="44">
        <f t="shared" si="4"/>
        <v>3590325</v>
      </c>
      <c r="U64" s="44">
        <f t="shared" si="5"/>
        <v>1476225</v>
      </c>
      <c r="V64" s="44"/>
    </row>
    <row r="65" spans="1:22" ht="14.5" x14ac:dyDescent="0.35">
      <c r="A65" s="47" t="str">
        <f t="shared" si="1"/>
        <v>SBY-WM-E1032-2020</v>
      </c>
      <c r="B65" s="26">
        <v>43876</v>
      </c>
      <c r="C65" s="42">
        <v>2020</v>
      </c>
      <c r="D65" s="27" t="s">
        <v>304</v>
      </c>
      <c r="E65" s="27" t="s">
        <v>41</v>
      </c>
      <c r="F65" s="42" t="str" cm="1">
        <f t="array" ref="F65">_xlfn.IFS(E65="Bandung","BDG",E65="Surabaya","SBY",E65="Jakarta","JKT")</f>
        <v>SBY</v>
      </c>
      <c r="G65" s="27" t="s">
        <v>53</v>
      </c>
      <c r="H65" s="27" t="s">
        <v>101</v>
      </c>
      <c r="I65" s="27" t="s">
        <v>35</v>
      </c>
      <c r="J65" s="26" t="s">
        <v>1770</v>
      </c>
      <c r="K65" s="26">
        <v>43877</v>
      </c>
      <c r="L65" s="27">
        <f t="shared" si="2"/>
        <v>1</v>
      </c>
      <c r="M65" s="45">
        <v>594600</v>
      </c>
      <c r="N65" s="45">
        <v>2287200</v>
      </c>
      <c r="O65" s="27">
        <v>388</v>
      </c>
      <c r="P65" s="46">
        <f t="shared" si="3"/>
        <v>0.74003147953830006</v>
      </c>
      <c r="Q65" s="27">
        <v>44</v>
      </c>
      <c r="R65" s="44">
        <f t="shared" si="0"/>
        <v>100636800</v>
      </c>
      <c r="S65" s="29">
        <v>0.03</v>
      </c>
      <c r="T65" s="44">
        <f t="shared" si="4"/>
        <v>97617696</v>
      </c>
      <c r="U65" s="44">
        <f t="shared" si="5"/>
        <v>71455296</v>
      </c>
      <c r="V65" s="44"/>
    </row>
    <row r="66" spans="1:22" ht="14.5" x14ac:dyDescent="0.35">
      <c r="A66" s="47" t="str">
        <f t="shared" si="1"/>
        <v>JKT-WS-E1029-2017</v>
      </c>
      <c r="B66" s="26">
        <v>42866</v>
      </c>
      <c r="C66" s="42">
        <v>2017</v>
      </c>
      <c r="D66" s="27" t="s">
        <v>356</v>
      </c>
      <c r="E66" s="27" t="s">
        <v>32</v>
      </c>
      <c r="F66" s="42" t="str" cm="1">
        <f t="array" ref="F66">_xlfn.IFS(E66="Bandung","BDG",E66="Surabaya","SBY",E66="Jakarta","JKT")</f>
        <v>JKT</v>
      </c>
      <c r="G66" s="27" t="s">
        <v>37</v>
      </c>
      <c r="H66" s="27" t="s">
        <v>61</v>
      </c>
      <c r="I66" s="27" t="s">
        <v>35</v>
      </c>
      <c r="J66" s="26">
        <v>42866</v>
      </c>
      <c r="K66" s="26">
        <v>43044</v>
      </c>
      <c r="L66" s="27">
        <f t="shared" si="2"/>
        <v>178</v>
      </c>
      <c r="M66" s="45">
        <v>79950</v>
      </c>
      <c r="N66" s="45">
        <v>129000</v>
      </c>
      <c r="O66" s="27">
        <v>216</v>
      </c>
      <c r="P66" s="46">
        <f t="shared" si="3"/>
        <v>0.38023255813953488</v>
      </c>
      <c r="Q66" s="27">
        <v>4</v>
      </c>
      <c r="R66" s="44">
        <f t="shared" si="0"/>
        <v>516000</v>
      </c>
      <c r="S66" s="29">
        <v>0.04</v>
      </c>
      <c r="T66" s="44">
        <f t="shared" si="4"/>
        <v>495360</v>
      </c>
      <c r="U66" s="44">
        <f t="shared" si="5"/>
        <v>175560</v>
      </c>
      <c r="V66" s="44"/>
    </row>
    <row r="67" spans="1:22" ht="14.5" x14ac:dyDescent="0.35">
      <c r="A67" s="47" t="str">
        <f t="shared" si="1"/>
        <v>JKT-WS-E1029-2020</v>
      </c>
      <c r="B67" s="26">
        <v>43914</v>
      </c>
      <c r="C67" s="42">
        <v>2020</v>
      </c>
      <c r="D67" s="27" t="s">
        <v>356</v>
      </c>
      <c r="E67" s="27" t="s">
        <v>32</v>
      </c>
      <c r="F67" s="42" t="str" cm="1">
        <f t="array" ref="F67">_xlfn.IFS(E67="Bandung","BDG",E67="Surabaya","SBY",E67="Jakarta","JKT")</f>
        <v>JKT</v>
      </c>
      <c r="G67" s="27" t="s">
        <v>37</v>
      </c>
      <c r="H67" s="27" t="s">
        <v>38</v>
      </c>
      <c r="I67" s="27" t="s">
        <v>39</v>
      </c>
      <c r="J67" s="26">
        <v>43918</v>
      </c>
      <c r="K67" s="26">
        <v>43918</v>
      </c>
      <c r="L67" s="27">
        <f t="shared" si="2"/>
        <v>4</v>
      </c>
      <c r="M67" s="45">
        <v>35850</v>
      </c>
      <c r="N67" s="45">
        <v>63900</v>
      </c>
      <c r="O67" s="27">
        <v>193</v>
      </c>
      <c r="P67" s="46">
        <f t="shared" si="3"/>
        <v>0.43896713615023475</v>
      </c>
      <c r="Q67" s="27">
        <v>44</v>
      </c>
      <c r="R67" s="44">
        <f t="shared" si="0"/>
        <v>2811600</v>
      </c>
      <c r="S67" s="29">
        <v>0.01</v>
      </c>
      <c r="T67" s="44">
        <f t="shared" si="4"/>
        <v>2783484</v>
      </c>
      <c r="U67" s="44">
        <f t="shared" si="5"/>
        <v>1206084</v>
      </c>
      <c r="V67" s="44"/>
    </row>
    <row r="68" spans="1:22" ht="14.5" x14ac:dyDescent="0.35">
      <c r="A68" s="47" t="str">
        <f t="shared" si="1"/>
        <v>SBY-VP-E1030-2018</v>
      </c>
      <c r="B68" s="26">
        <v>43153</v>
      </c>
      <c r="C68" s="42">
        <v>2018</v>
      </c>
      <c r="D68" s="27" t="s">
        <v>505</v>
      </c>
      <c r="E68" s="27" t="s">
        <v>41</v>
      </c>
      <c r="F68" s="42" t="str" cm="1">
        <f t="array" ref="F68">_xlfn.IFS(E68="Bandung","BDG",E68="Surabaya","SBY",E68="Jakarta","JKT")</f>
        <v>SBY</v>
      </c>
      <c r="G68" s="27" t="s">
        <v>42</v>
      </c>
      <c r="H68" s="27" t="s">
        <v>363</v>
      </c>
      <c r="I68" s="27" t="s">
        <v>236</v>
      </c>
      <c r="J68" s="26">
        <v>43155</v>
      </c>
      <c r="K68" s="26">
        <v>43155</v>
      </c>
      <c r="L68" s="27">
        <f t="shared" si="2"/>
        <v>2</v>
      </c>
      <c r="M68" s="45">
        <v>5669850</v>
      </c>
      <c r="N68" s="45">
        <v>8999850</v>
      </c>
      <c r="O68" s="27">
        <v>284</v>
      </c>
      <c r="P68" s="46">
        <f t="shared" si="3"/>
        <v>0.37000616676944614</v>
      </c>
      <c r="Q68" s="27">
        <v>20</v>
      </c>
      <c r="R68" s="44">
        <f t="shared" ref="R68:R131" si="6">N68*Q68</f>
        <v>179997000</v>
      </c>
      <c r="S68" s="29">
        <v>7.0000000000000007E-2</v>
      </c>
      <c r="T68" s="44">
        <f t="shared" si="4"/>
        <v>167397210</v>
      </c>
      <c r="U68" s="44">
        <f t="shared" si="5"/>
        <v>54000210</v>
      </c>
      <c r="V68" s="44"/>
    </row>
    <row r="69" spans="1:22" ht="14.5" x14ac:dyDescent="0.35">
      <c r="A69" s="47" t="str">
        <f t="shared" ref="A69:A132" si="7">_xlfn.CONCAT(F69,"-",LEFT(D69,1),MID(D69,FIND(" ",D69)+1,1),"-",G69,"-",C69)</f>
        <v>SBY-VP-E1030-2019</v>
      </c>
      <c r="B69" s="26">
        <v>43685</v>
      </c>
      <c r="C69" s="42">
        <v>2019</v>
      </c>
      <c r="D69" s="27" t="s">
        <v>505</v>
      </c>
      <c r="E69" s="27" t="s">
        <v>41</v>
      </c>
      <c r="F69" s="42" t="str" cm="1">
        <f t="array" ref="F69">_xlfn.IFS(E69="Bandung","BDG",E69="Surabaya","SBY",E69="Jakarta","JKT")</f>
        <v>SBY</v>
      </c>
      <c r="G69" s="27" t="s">
        <v>42</v>
      </c>
      <c r="H69" s="27" t="s">
        <v>105</v>
      </c>
      <c r="I69" s="27" t="s">
        <v>35</v>
      </c>
      <c r="J69" s="26">
        <v>43686</v>
      </c>
      <c r="K69" s="26">
        <v>43716</v>
      </c>
      <c r="L69" s="27">
        <f t="shared" ref="L69:L132" si="8">K69-B69</f>
        <v>31</v>
      </c>
      <c r="M69" s="45">
        <v>124650.00000000001</v>
      </c>
      <c r="N69" s="45">
        <v>239700</v>
      </c>
      <c r="O69" s="27">
        <v>359</v>
      </c>
      <c r="P69" s="46">
        <f t="shared" ref="P69:P132" si="9">(N69-M69)/N69</f>
        <v>0.47997496871088857</v>
      </c>
      <c r="Q69" s="27">
        <v>18</v>
      </c>
      <c r="R69" s="44">
        <f t="shared" si="6"/>
        <v>4314600</v>
      </c>
      <c r="S69" s="29">
        <v>0.1</v>
      </c>
      <c r="T69" s="44">
        <f t="shared" ref="T69:T132" si="10">R69*(1-S69)</f>
        <v>3883140</v>
      </c>
      <c r="U69" s="44">
        <f t="shared" ref="U69:U132" si="11">T69-(M69*Q69)</f>
        <v>1639439.9999999995</v>
      </c>
      <c r="V69" s="44"/>
    </row>
    <row r="70" spans="1:22" ht="14.5" x14ac:dyDescent="0.35">
      <c r="A70" s="47" t="str">
        <f t="shared" si="7"/>
        <v>SBY-VW-E1033-2019</v>
      </c>
      <c r="B70" s="26">
        <v>43753</v>
      </c>
      <c r="C70" s="42">
        <v>2019</v>
      </c>
      <c r="D70" s="27" t="s">
        <v>697</v>
      </c>
      <c r="E70" s="27" t="s">
        <v>41</v>
      </c>
      <c r="F70" s="42" t="str" cm="1">
        <f t="array" ref="F70">_xlfn.IFS(E70="Bandung","BDG",E70="Surabaya","SBY",E70="Jakarta","JKT")</f>
        <v>SBY</v>
      </c>
      <c r="G70" s="27" t="s">
        <v>60</v>
      </c>
      <c r="H70" s="27" t="s">
        <v>132</v>
      </c>
      <c r="I70" s="27" t="s">
        <v>73</v>
      </c>
      <c r="J70" s="26">
        <v>43760</v>
      </c>
      <c r="K70" s="26">
        <v>43760</v>
      </c>
      <c r="L70" s="27">
        <f t="shared" si="8"/>
        <v>7</v>
      </c>
      <c r="M70" s="45">
        <v>82500</v>
      </c>
      <c r="N70" s="45">
        <v>183300</v>
      </c>
      <c r="O70" s="27">
        <v>224</v>
      </c>
      <c r="P70" s="46">
        <f t="shared" si="9"/>
        <v>0.54991816693944351</v>
      </c>
      <c r="Q70" s="27">
        <v>46</v>
      </c>
      <c r="R70" s="44">
        <f t="shared" si="6"/>
        <v>8431800</v>
      </c>
      <c r="S70" s="29">
        <v>0.03</v>
      </c>
      <c r="T70" s="44">
        <f t="shared" si="10"/>
        <v>8178846</v>
      </c>
      <c r="U70" s="44">
        <f t="shared" si="11"/>
        <v>4383846</v>
      </c>
      <c r="V70" s="44"/>
    </row>
    <row r="71" spans="1:22" ht="14.5" x14ac:dyDescent="0.35">
      <c r="A71" s="47" t="str">
        <f t="shared" si="7"/>
        <v>SBY-VS-E1038-2017</v>
      </c>
      <c r="B71" s="26">
        <v>42961</v>
      </c>
      <c r="C71" s="42">
        <v>2017</v>
      </c>
      <c r="D71" s="27" t="s">
        <v>409</v>
      </c>
      <c r="E71" s="27" t="s">
        <v>41</v>
      </c>
      <c r="F71" s="42" t="str" cm="1">
        <f t="array" ref="F71">_xlfn.IFS(E71="Bandung","BDG",E71="Surabaya","SBY",E71="Jakarta","JKT")</f>
        <v>SBY</v>
      </c>
      <c r="G71" s="27" t="s">
        <v>98</v>
      </c>
      <c r="H71" s="27" t="s">
        <v>410</v>
      </c>
      <c r="I71" s="27" t="s">
        <v>35</v>
      </c>
      <c r="J71" s="26" t="s">
        <v>1620</v>
      </c>
      <c r="K71" s="26">
        <v>42963</v>
      </c>
      <c r="L71" s="27">
        <f t="shared" si="8"/>
        <v>2</v>
      </c>
      <c r="M71" s="45">
        <v>1263300</v>
      </c>
      <c r="N71" s="45">
        <v>3158250</v>
      </c>
      <c r="O71" s="27">
        <v>56</v>
      </c>
      <c r="P71" s="46">
        <f t="shared" si="9"/>
        <v>0.6</v>
      </c>
      <c r="Q71" s="27">
        <v>32</v>
      </c>
      <c r="R71" s="44">
        <f t="shared" si="6"/>
        <v>101064000</v>
      </c>
      <c r="S71" s="29">
        <v>0.1</v>
      </c>
      <c r="T71" s="44">
        <f t="shared" si="10"/>
        <v>90957600</v>
      </c>
      <c r="U71" s="44">
        <f t="shared" si="11"/>
        <v>50532000</v>
      </c>
      <c r="V71" s="44"/>
    </row>
    <row r="72" spans="1:22" ht="14.5" x14ac:dyDescent="0.35">
      <c r="A72" s="47" t="str">
        <f t="shared" si="7"/>
        <v>SBY-VS-E1038-2018</v>
      </c>
      <c r="B72" s="26">
        <v>43198</v>
      </c>
      <c r="C72" s="42">
        <v>2018</v>
      </c>
      <c r="D72" s="27" t="s">
        <v>409</v>
      </c>
      <c r="E72" s="27" t="s">
        <v>41</v>
      </c>
      <c r="F72" s="42" t="str" cm="1">
        <f t="array" ref="F72">_xlfn.IFS(E72="Bandung","BDG",E72="Surabaya","SBY",E72="Jakarta","JKT")</f>
        <v>SBY</v>
      </c>
      <c r="G72" s="27" t="s">
        <v>98</v>
      </c>
      <c r="H72" s="27" t="s">
        <v>209</v>
      </c>
      <c r="I72" s="27" t="s">
        <v>236</v>
      </c>
      <c r="J72" s="26">
        <v>43377</v>
      </c>
      <c r="K72" s="26">
        <v>43200</v>
      </c>
      <c r="L72" s="27">
        <f t="shared" si="8"/>
        <v>2</v>
      </c>
      <c r="M72" s="45">
        <v>3240000</v>
      </c>
      <c r="N72" s="45">
        <v>6749850</v>
      </c>
      <c r="O72" s="27">
        <v>440</v>
      </c>
      <c r="P72" s="46">
        <f t="shared" si="9"/>
        <v>0.51998933309629103</v>
      </c>
      <c r="Q72" s="27">
        <v>10</v>
      </c>
      <c r="R72" s="44">
        <f t="shared" si="6"/>
        <v>67498500</v>
      </c>
      <c r="S72" s="29">
        <v>0.01</v>
      </c>
      <c r="T72" s="44">
        <f t="shared" si="10"/>
        <v>66823515</v>
      </c>
      <c r="U72" s="44">
        <f t="shared" si="11"/>
        <v>34423515</v>
      </c>
      <c r="V72" s="44"/>
    </row>
    <row r="73" spans="1:22" ht="14.5" x14ac:dyDescent="0.35">
      <c r="A73" s="47" t="str">
        <f t="shared" si="7"/>
        <v>SBY-VM-E1032-2019</v>
      </c>
      <c r="B73" s="26">
        <v>43643</v>
      </c>
      <c r="C73" s="42">
        <v>2019</v>
      </c>
      <c r="D73" s="27" t="s">
        <v>665</v>
      </c>
      <c r="E73" s="27" t="s">
        <v>41</v>
      </c>
      <c r="F73" s="42" t="str" cm="1">
        <f t="array" ref="F73">_xlfn.IFS(E73="Bandung","BDG",E73="Surabaya","SBY",E73="Jakarta","JKT")</f>
        <v>SBY</v>
      </c>
      <c r="G73" s="27" t="s">
        <v>53</v>
      </c>
      <c r="H73" s="27" t="s">
        <v>150</v>
      </c>
      <c r="I73" s="27" t="s">
        <v>35</v>
      </c>
      <c r="J73" s="26">
        <v>43647</v>
      </c>
      <c r="K73" s="26">
        <v>43472</v>
      </c>
      <c r="L73" s="27">
        <f t="shared" si="8"/>
        <v>-171</v>
      </c>
      <c r="M73" s="45">
        <v>185850</v>
      </c>
      <c r="N73" s="45">
        <v>299700</v>
      </c>
      <c r="O73" s="27">
        <v>328</v>
      </c>
      <c r="P73" s="46">
        <f t="shared" si="9"/>
        <v>0.37987987987987987</v>
      </c>
      <c r="Q73" s="27">
        <v>47</v>
      </c>
      <c r="R73" s="44">
        <f t="shared" si="6"/>
        <v>14085900</v>
      </c>
      <c r="S73" s="29">
        <v>0</v>
      </c>
      <c r="T73" s="44">
        <f t="shared" si="10"/>
        <v>14085900</v>
      </c>
      <c r="U73" s="44">
        <f t="shared" si="11"/>
        <v>5350950</v>
      </c>
      <c r="V73" s="44"/>
    </row>
    <row r="74" spans="1:22" ht="14.5" x14ac:dyDescent="0.35">
      <c r="A74" s="47" t="str">
        <f t="shared" si="7"/>
        <v>SBY-VK-E1033-2019</v>
      </c>
      <c r="B74" s="26">
        <v>43786</v>
      </c>
      <c r="C74" s="42">
        <v>2019</v>
      </c>
      <c r="D74" s="27" t="s">
        <v>703</v>
      </c>
      <c r="E74" s="27" t="s">
        <v>41</v>
      </c>
      <c r="F74" s="42" t="str" cm="1">
        <f t="array" ref="F74">_xlfn.IFS(E74="Bandung","BDG",E74="Surabaya","SBY",E74="Jakarta","JKT")</f>
        <v>SBY</v>
      </c>
      <c r="G74" s="27" t="s">
        <v>60</v>
      </c>
      <c r="H74" s="27" t="s">
        <v>206</v>
      </c>
      <c r="I74" s="27" t="s">
        <v>35</v>
      </c>
      <c r="J74" s="26" t="s">
        <v>1760</v>
      </c>
      <c r="K74" s="26">
        <v>43788</v>
      </c>
      <c r="L74" s="27">
        <f t="shared" si="8"/>
        <v>2</v>
      </c>
      <c r="M74" s="45">
        <v>817800</v>
      </c>
      <c r="N74" s="45">
        <v>1514550</v>
      </c>
      <c r="O74" s="27">
        <v>161</v>
      </c>
      <c r="P74" s="46">
        <f t="shared" si="9"/>
        <v>0.46003763494107158</v>
      </c>
      <c r="Q74" s="27">
        <v>41</v>
      </c>
      <c r="R74" s="44">
        <f t="shared" si="6"/>
        <v>62096550</v>
      </c>
      <c r="S74" s="29">
        <v>0.03</v>
      </c>
      <c r="T74" s="44">
        <f t="shared" si="10"/>
        <v>60233653.5</v>
      </c>
      <c r="U74" s="44">
        <f t="shared" si="11"/>
        <v>26703853.5</v>
      </c>
      <c r="V74" s="44"/>
    </row>
    <row r="75" spans="1:22" ht="14.5" x14ac:dyDescent="0.35">
      <c r="A75" s="47" t="str">
        <f t="shared" si="7"/>
        <v>SBY-VK-E1036-2018</v>
      </c>
      <c r="B75" s="26">
        <v>43389</v>
      </c>
      <c r="C75" s="42">
        <v>2018</v>
      </c>
      <c r="D75" s="27" t="s">
        <v>603</v>
      </c>
      <c r="E75" s="27" t="s">
        <v>41</v>
      </c>
      <c r="F75" s="42" t="str" cm="1">
        <f t="array" ref="F75">_xlfn.IFS(E75="Bandung","BDG",E75="Surabaya","SBY",E75="Jakarta","JKT")</f>
        <v>SBY</v>
      </c>
      <c r="G75" s="27" t="s">
        <v>78</v>
      </c>
      <c r="H75" s="27" t="s">
        <v>319</v>
      </c>
      <c r="I75" s="27" t="s">
        <v>73</v>
      </c>
      <c r="J75" s="26">
        <v>43389</v>
      </c>
      <c r="K75" s="26">
        <v>43389</v>
      </c>
      <c r="L75" s="27">
        <f t="shared" si="8"/>
        <v>0</v>
      </c>
      <c r="M75" s="45">
        <v>170700</v>
      </c>
      <c r="N75" s="45">
        <v>279750</v>
      </c>
      <c r="O75" s="27">
        <v>81</v>
      </c>
      <c r="P75" s="46">
        <f t="shared" si="9"/>
        <v>0.38981233243967828</v>
      </c>
      <c r="Q75" s="27">
        <v>44</v>
      </c>
      <c r="R75" s="44">
        <f t="shared" si="6"/>
        <v>12309000</v>
      </c>
      <c r="S75" s="29">
        <v>0.03</v>
      </c>
      <c r="T75" s="44">
        <f t="shared" si="10"/>
        <v>11939730</v>
      </c>
      <c r="U75" s="44">
        <f t="shared" si="11"/>
        <v>4428930</v>
      </c>
      <c r="V75" s="44"/>
    </row>
    <row r="76" spans="1:22" ht="14.5" x14ac:dyDescent="0.35">
      <c r="A76" s="47" t="str">
        <f t="shared" si="7"/>
        <v>JKT-UP-E1029-2017</v>
      </c>
      <c r="B76" s="26">
        <v>42872</v>
      </c>
      <c r="C76" s="42">
        <v>2017</v>
      </c>
      <c r="D76" s="27" t="s">
        <v>360</v>
      </c>
      <c r="E76" s="27" t="s">
        <v>32</v>
      </c>
      <c r="F76" s="42" t="str" cm="1">
        <f t="array" ref="F76">_xlfn.IFS(E76="Bandung","BDG",E76="Surabaya","SBY",E76="Jakarta","JKT")</f>
        <v>JKT</v>
      </c>
      <c r="G76" s="27" t="s">
        <v>37</v>
      </c>
      <c r="H76" s="27" t="s">
        <v>148</v>
      </c>
      <c r="I76" s="27" t="s">
        <v>35</v>
      </c>
      <c r="J76" s="26" t="s">
        <v>1609</v>
      </c>
      <c r="K76" s="26">
        <v>42877</v>
      </c>
      <c r="L76" s="27">
        <f t="shared" si="8"/>
        <v>5</v>
      </c>
      <c r="M76" s="45">
        <v>33750</v>
      </c>
      <c r="N76" s="45">
        <v>55350</v>
      </c>
      <c r="O76" s="27">
        <v>224</v>
      </c>
      <c r="P76" s="46">
        <f t="shared" si="9"/>
        <v>0.3902439024390244</v>
      </c>
      <c r="Q76" s="27">
        <v>20</v>
      </c>
      <c r="R76" s="44">
        <f t="shared" si="6"/>
        <v>1107000</v>
      </c>
      <c r="S76" s="29">
        <v>0.08</v>
      </c>
      <c r="T76" s="44">
        <f t="shared" si="10"/>
        <v>1018440</v>
      </c>
      <c r="U76" s="44">
        <f t="shared" si="11"/>
        <v>343440</v>
      </c>
      <c r="V76" s="44"/>
    </row>
    <row r="77" spans="1:22" ht="14.5" x14ac:dyDescent="0.35">
      <c r="A77" s="47" t="str">
        <f t="shared" si="7"/>
        <v>JKT-UP-E1029-2018</v>
      </c>
      <c r="B77" s="26">
        <v>43327</v>
      </c>
      <c r="C77" s="42">
        <v>2018</v>
      </c>
      <c r="D77" s="27" t="s">
        <v>360</v>
      </c>
      <c r="E77" s="27" t="s">
        <v>32</v>
      </c>
      <c r="F77" s="42" t="str" cm="1">
        <f t="array" ref="F77">_xlfn.IFS(E77="Bandung","BDG",E77="Surabaya","SBY",E77="Jakarta","JKT")</f>
        <v>JKT</v>
      </c>
      <c r="G77" s="27" t="s">
        <v>37</v>
      </c>
      <c r="H77" s="27" t="s">
        <v>105</v>
      </c>
      <c r="I77" s="27" t="s">
        <v>35</v>
      </c>
      <c r="J77" s="26" t="s">
        <v>1686</v>
      </c>
      <c r="K77" s="26">
        <v>43329</v>
      </c>
      <c r="L77" s="27">
        <f t="shared" si="8"/>
        <v>2</v>
      </c>
      <c r="M77" s="45">
        <v>151050</v>
      </c>
      <c r="N77" s="45">
        <v>239700</v>
      </c>
      <c r="O77" s="27">
        <v>341</v>
      </c>
      <c r="P77" s="46">
        <f t="shared" si="9"/>
        <v>0.36983729662077597</v>
      </c>
      <c r="Q77" s="27">
        <v>26</v>
      </c>
      <c r="R77" s="44">
        <f t="shared" si="6"/>
        <v>6232200</v>
      </c>
      <c r="S77" s="29">
        <v>0.03</v>
      </c>
      <c r="T77" s="44">
        <f t="shared" si="10"/>
        <v>6045234</v>
      </c>
      <c r="U77" s="44">
        <f t="shared" si="11"/>
        <v>2117934</v>
      </c>
      <c r="V77" s="44"/>
    </row>
    <row r="78" spans="1:22" ht="14.5" x14ac:dyDescent="0.35">
      <c r="A78" s="47" t="str">
        <f t="shared" si="7"/>
        <v>SBY-US-E1038-2017</v>
      </c>
      <c r="B78" s="26">
        <v>43020</v>
      </c>
      <c r="C78" s="42">
        <v>2017</v>
      </c>
      <c r="D78" s="27" t="s">
        <v>446</v>
      </c>
      <c r="E78" s="27" t="s">
        <v>41</v>
      </c>
      <c r="F78" s="42" t="str" cm="1">
        <f t="array" ref="F78">_xlfn.IFS(E78="Bandung","BDG",E78="Surabaya","SBY",E78="Jakarta","JKT")</f>
        <v>SBY</v>
      </c>
      <c r="G78" s="27" t="s">
        <v>98</v>
      </c>
      <c r="H78" s="27" t="s">
        <v>152</v>
      </c>
      <c r="I78" s="27" t="s">
        <v>35</v>
      </c>
      <c r="J78" s="26">
        <v>43023</v>
      </c>
      <c r="K78" s="26">
        <v>43023</v>
      </c>
      <c r="L78" s="27">
        <f t="shared" si="8"/>
        <v>3</v>
      </c>
      <c r="M78" s="45">
        <v>133800</v>
      </c>
      <c r="N78" s="45">
        <v>446100</v>
      </c>
      <c r="O78" s="27">
        <v>127</v>
      </c>
      <c r="P78" s="46">
        <f t="shared" si="9"/>
        <v>0.70006724949562882</v>
      </c>
      <c r="Q78" s="27">
        <v>4</v>
      </c>
      <c r="R78" s="44">
        <f t="shared" si="6"/>
        <v>1784400</v>
      </c>
      <c r="S78" s="29">
        <v>0.05</v>
      </c>
      <c r="T78" s="44">
        <f t="shared" si="10"/>
        <v>1695180</v>
      </c>
      <c r="U78" s="44">
        <f t="shared" si="11"/>
        <v>1159980</v>
      </c>
      <c r="V78" s="44"/>
    </row>
    <row r="79" spans="1:22" ht="14.5" x14ac:dyDescent="0.35">
      <c r="A79" s="47" t="str">
        <f t="shared" si="7"/>
        <v>SBY-US-E1038-2019</v>
      </c>
      <c r="B79" s="26">
        <v>43646</v>
      </c>
      <c r="C79" s="42">
        <v>2019</v>
      </c>
      <c r="D79" s="27" t="s">
        <v>446</v>
      </c>
      <c r="E79" s="27" t="s">
        <v>41</v>
      </c>
      <c r="F79" s="42" t="str" cm="1">
        <f t="array" ref="F79">_xlfn.IFS(E79="Bandung","BDG",E79="Surabaya","SBY",E79="Jakarta","JKT")</f>
        <v>SBY</v>
      </c>
      <c r="G79" s="27" t="s">
        <v>98</v>
      </c>
      <c r="H79" s="27" t="s">
        <v>204</v>
      </c>
      <c r="I79" s="27" t="s">
        <v>39</v>
      </c>
      <c r="J79" s="26">
        <v>43649</v>
      </c>
      <c r="K79" s="26">
        <v>43531</v>
      </c>
      <c r="L79" s="27">
        <f t="shared" si="8"/>
        <v>-115</v>
      </c>
      <c r="M79" s="45">
        <v>3600</v>
      </c>
      <c r="N79" s="45">
        <v>18900</v>
      </c>
      <c r="O79" s="27">
        <v>373</v>
      </c>
      <c r="P79" s="46">
        <f t="shared" si="9"/>
        <v>0.80952380952380953</v>
      </c>
      <c r="Q79" s="27">
        <v>47</v>
      </c>
      <c r="R79" s="44">
        <f t="shared" si="6"/>
        <v>888300</v>
      </c>
      <c r="S79" s="29">
        <v>7.0000000000000007E-2</v>
      </c>
      <c r="T79" s="44">
        <f t="shared" si="10"/>
        <v>826119</v>
      </c>
      <c r="U79" s="44">
        <f t="shared" si="11"/>
        <v>656919</v>
      </c>
      <c r="V79" s="44"/>
    </row>
    <row r="80" spans="1:22" ht="14.5" x14ac:dyDescent="0.35">
      <c r="A80" s="47" t="str">
        <f t="shared" si="7"/>
        <v>SBY-UZ-E1030-2016</v>
      </c>
      <c r="B80" s="26">
        <v>42527</v>
      </c>
      <c r="C80" s="42">
        <v>2016</v>
      </c>
      <c r="D80" s="27" t="s">
        <v>57</v>
      </c>
      <c r="E80" s="27" t="s">
        <v>41</v>
      </c>
      <c r="F80" s="42" t="str" cm="1">
        <f t="array" ref="F80">_xlfn.IFS(E80="Bandung","BDG",E80="Surabaya","SBY",E80="Jakarta","JKT")</f>
        <v>SBY</v>
      </c>
      <c r="G80" s="27" t="s">
        <v>42</v>
      </c>
      <c r="H80" s="27" t="s">
        <v>58</v>
      </c>
      <c r="I80" s="27" t="s">
        <v>35</v>
      </c>
      <c r="J80" s="26">
        <v>42528</v>
      </c>
      <c r="K80" s="26">
        <v>42557</v>
      </c>
      <c r="L80" s="27">
        <f t="shared" si="8"/>
        <v>30</v>
      </c>
      <c r="M80" s="45">
        <v>814350</v>
      </c>
      <c r="N80" s="45">
        <v>1357200</v>
      </c>
      <c r="O80" s="27">
        <v>169</v>
      </c>
      <c r="P80" s="46">
        <f t="shared" si="9"/>
        <v>0.39997789566755082</v>
      </c>
      <c r="Q80" s="27">
        <v>8</v>
      </c>
      <c r="R80" s="44">
        <f t="shared" si="6"/>
        <v>10857600</v>
      </c>
      <c r="S80" s="29">
        <v>7.0000000000000007E-2</v>
      </c>
      <c r="T80" s="44">
        <f t="shared" si="10"/>
        <v>10097568</v>
      </c>
      <c r="U80" s="44">
        <f t="shared" si="11"/>
        <v>3582768</v>
      </c>
      <c r="V80" s="44"/>
    </row>
    <row r="81" spans="1:22" ht="14.5" x14ac:dyDescent="0.35">
      <c r="A81" s="47" t="str">
        <f t="shared" si="7"/>
        <v>SBY-UZ-E1030-2017</v>
      </c>
      <c r="B81" s="26">
        <v>42913</v>
      </c>
      <c r="C81" s="42">
        <v>2017</v>
      </c>
      <c r="D81" s="27" t="s">
        <v>57</v>
      </c>
      <c r="E81" s="27" t="s">
        <v>41</v>
      </c>
      <c r="F81" s="42" t="str" cm="1">
        <f t="array" ref="F81">_xlfn.IFS(E81="Bandung","BDG",E81="Surabaya","SBY",E81="Jakarta","JKT")</f>
        <v>SBY</v>
      </c>
      <c r="G81" s="27" t="s">
        <v>42</v>
      </c>
      <c r="H81" s="27" t="s">
        <v>239</v>
      </c>
      <c r="I81" s="27" t="s">
        <v>35</v>
      </c>
      <c r="J81" s="26">
        <v>42913</v>
      </c>
      <c r="K81" s="26">
        <v>42913</v>
      </c>
      <c r="L81" s="27">
        <f t="shared" si="8"/>
        <v>0</v>
      </c>
      <c r="M81" s="45">
        <v>52500</v>
      </c>
      <c r="N81" s="45">
        <v>86100</v>
      </c>
      <c r="O81" s="27">
        <v>307</v>
      </c>
      <c r="P81" s="46">
        <f t="shared" si="9"/>
        <v>0.3902439024390244</v>
      </c>
      <c r="Q81" s="27">
        <v>45</v>
      </c>
      <c r="R81" s="44">
        <f t="shared" si="6"/>
        <v>3874500</v>
      </c>
      <c r="S81" s="29">
        <v>0</v>
      </c>
      <c r="T81" s="44">
        <f t="shared" si="10"/>
        <v>3874500</v>
      </c>
      <c r="U81" s="44">
        <f t="shared" si="11"/>
        <v>1512000</v>
      </c>
      <c r="V81" s="44"/>
    </row>
    <row r="82" spans="1:22" ht="14.5" x14ac:dyDescent="0.35">
      <c r="A82" s="47" t="str">
        <f t="shared" si="7"/>
        <v>SBY-UZ-E1030-2017</v>
      </c>
      <c r="B82" s="26">
        <v>43008</v>
      </c>
      <c r="C82" s="42">
        <v>2017</v>
      </c>
      <c r="D82" s="27" t="s">
        <v>57</v>
      </c>
      <c r="E82" s="27" t="s">
        <v>41</v>
      </c>
      <c r="F82" s="42" t="str" cm="1">
        <f t="array" ref="F82">_xlfn.IFS(E82="Bandung","BDG",E82="Surabaya","SBY",E82="Jakarta","JKT")</f>
        <v>SBY</v>
      </c>
      <c r="G82" s="27" t="s">
        <v>42</v>
      </c>
      <c r="H82" s="27" t="s">
        <v>434</v>
      </c>
      <c r="I82" s="27" t="s">
        <v>39</v>
      </c>
      <c r="J82" s="26" t="s">
        <v>1633</v>
      </c>
      <c r="K82" s="26">
        <v>43008</v>
      </c>
      <c r="L82" s="27">
        <f t="shared" si="8"/>
        <v>0</v>
      </c>
      <c r="M82" s="45">
        <v>28200</v>
      </c>
      <c r="N82" s="45">
        <v>47100</v>
      </c>
      <c r="O82" s="27">
        <v>125</v>
      </c>
      <c r="P82" s="46">
        <f t="shared" si="9"/>
        <v>0.40127388535031849</v>
      </c>
      <c r="Q82" s="27">
        <v>32</v>
      </c>
      <c r="R82" s="44">
        <f t="shared" si="6"/>
        <v>1507200</v>
      </c>
      <c r="S82" s="29">
        <v>0.03</v>
      </c>
      <c r="T82" s="44">
        <f t="shared" si="10"/>
        <v>1461984</v>
      </c>
      <c r="U82" s="44">
        <f t="shared" si="11"/>
        <v>559584</v>
      </c>
      <c r="V82" s="44"/>
    </row>
    <row r="83" spans="1:22" ht="14.5" x14ac:dyDescent="0.35">
      <c r="A83" s="47" t="str">
        <f t="shared" si="7"/>
        <v>SBY-UM-E1037-2018</v>
      </c>
      <c r="B83" s="26">
        <v>43342</v>
      </c>
      <c r="C83" s="42">
        <v>2018</v>
      </c>
      <c r="D83" s="27" t="s">
        <v>586</v>
      </c>
      <c r="E83" s="27" t="s">
        <v>41</v>
      </c>
      <c r="F83" s="42" t="str" cm="1">
        <f t="array" ref="F83">_xlfn.IFS(E83="Bandung","BDG",E83="Surabaya","SBY",E83="Jakarta","JKT")</f>
        <v>SBY</v>
      </c>
      <c r="G83" s="27" t="s">
        <v>83</v>
      </c>
      <c r="H83" s="27" t="s">
        <v>158</v>
      </c>
      <c r="I83" s="27" t="s">
        <v>73</v>
      </c>
      <c r="J83" s="26">
        <v>43349</v>
      </c>
      <c r="K83" s="26">
        <v>43260</v>
      </c>
      <c r="L83" s="27">
        <f t="shared" si="8"/>
        <v>-82</v>
      </c>
      <c r="M83" s="45">
        <v>302700</v>
      </c>
      <c r="N83" s="45">
        <v>531150</v>
      </c>
      <c r="O83" s="27">
        <v>177</v>
      </c>
      <c r="P83" s="46">
        <f t="shared" si="9"/>
        <v>0.43010449025698955</v>
      </c>
      <c r="Q83" s="27">
        <v>1</v>
      </c>
      <c r="R83" s="44">
        <f t="shared" si="6"/>
        <v>531150</v>
      </c>
      <c r="S83" s="29">
        <v>0.1</v>
      </c>
      <c r="T83" s="44">
        <f t="shared" si="10"/>
        <v>478035</v>
      </c>
      <c r="U83" s="44">
        <f t="shared" si="11"/>
        <v>175335</v>
      </c>
      <c r="V83" s="44"/>
    </row>
    <row r="84" spans="1:22" ht="14.5" x14ac:dyDescent="0.35">
      <c r="A84" s="47" t="str">
        <f t="shared" si="7"/>
        <v>SBY-UM-E1037-2019</v>
      </c>
      <c r="B84" s="26">
        <v>43750</v>
      </c>
      <c r="C84" s="42">
        <v>2019</v>
      </c>
      <c r="D84" s="27" t="s">
        <v>586</v>
      </c>
      <c r="E84" s="27" t="s">
        <v>41</v>
      </c>
      <c r="F84" s="42" t="str" cm="1">
        <f t="array" ref="F84">_xlfn.IFS(E84="Bandung","BDG",E84="Surabaya","SBY",E84="Jakarta","JKT")</f>
        <v>SBY</v>
      </c>
      <c r="G84" s="27" t="s">
        <v>83</v>
      </c>
      <c r="H84" s="27" t="s">
        <v>336</v>
      </c>
      <c r="I84" s="27" t="s">
        <v>35</v>
      </c>
      <c r="J84" s="26">
        <v>43752</v>
      </c>
      <c r="K84" s="26">
        <v>43752</v>
      </c>
      <c r="L84" s="27">
        <f t="shared" si="8"/>
        <v>2</v>
      </c>
      <c r="M84" s="45">
        <v>47100</v>
      </c>
      <c r="N84" s="45">
        <v>73650</v>
      </c>
      <c r="O84" s="27">
        <v>77</v>
      </c>
      <c r="P84" s="46">
        <f t="shared" si="9"/>
        <v>0.3604887983706721</v>
      </c>
      <c r="Q84" s="27">
        <v>28</v>
      </c>
      <c r="R84" s="44">
        <f t="shared" si="6"/>
        <v>2062200</v>
      </c>
      <c r="S84" s="29">
        <v>0.08</v>
      </c>
      <c r="T84" s="44">
        <f t="shared" si="10"/>
        <v>1897224</v>
      </c>
      <c r="U84" s="44">
        <f t="shared" si="11"/>
        <v>578424</v>
      </c>
      <c r="V84" s="44"/>
    </row>
    <row r="85" spans="1:22" ht="14.5" x14ac:dyDescent="0.35">
      <c r="A85" s="47" t="str">
        <f t="shared" si="7"/>
        <v>JKT-UM-E1029-2019</v>
      </c>
      <c r="B85" s="26">
        <v>43763</v>
      </c>
      <c r="C85" s="42">
        <v>2019</v>
      </c>
      <c r="D85" s="27" t="s">
        <v>700</v>
      </c>
      <c r="E85" s="27" t="s">
        <v>32</v>
      </c>
      <c r="F85" s="42" t="str" cm="1">
        <f t="array" ref="F85">_xlfn.IFS(E85="Bandung","BDG",E85="Surabaya","SBY",E85="Jakarta","JKT")</f>
        <v>JKT</v>
      </c>
      <c r="G85" s="27" t="s">
        <v>37</v>
      </c>
      <c r="H85" s="27" t="s">
        <v>214</v>
      </c>
      <c r="I85" s="27" t="s">
        <v>35</v>
      </c>
      <c r="J85" s="26" t="s">
        <v>1757</v>
      </c>
      <c r="K85" s="26">
        <v>43764</v>
      </c>
      <c r="L85" s="27">
        <f t="shared" si="8"/>
        <v>1</v>
      </c>
      <c r="M85" s="45">
        <v>54750</v>
      </c>
      <c r="N85" s="45">
        <v>89700</v>
      </c>
      <c r="O85" s="27">
        <v>277</v>
      </c>
      <c r="P85" s="46">
        <f t="shared" si="9"/>
        <v>0.38963210702341139</v>
      </c>
      <c r="Q85" s="27">
        <v>22</v>
      </c>
      <c r="R85" s="44">
        <f t="shared" si="6"/>
        <v>1973400</v>
      </c>
      <c r="S85" s="29">
        <v>7.0000000000000007E-2</v>
      </c>
      <c r="T85" s="44">
        <f t="shared" si="10"/>
        <v>1835261.9999999998</v>
      </c>
      <c r="U85" s="44">
        <f t="shared" si="11"/>
        <v>630761.99999999977</v>
      </c>
      <c r="V85" s="44"/>
    </row>
    <row r="86" spans="1:22" ht="14.5" x14ac:dyDescent="0.35">
      <c r="A86" s="47" t="str">
        <f t="shared" si="7"/>
        <v>JKT-UY-E1029-2016</v>
      </c>
      <c r="B86" s="26">
        <v>42608</v>
      </c>
      <c r="C86" s="42">
        <v>2016</v>
      </c>
      <c r="D86" s="27" t="s">
        <v>122</v>
      </c>
      <c r="E86" s="27" t="s">
        <v>32</v>
      </c>
      <c r="F86" s="42" t="str" cm="1">
        <f t="array" ref="F86">_xlfn.IFS(E86="Bandung","BDG",E86="Surabaya","SBY",E86="Jakarta","JKT")</f>
        <v>JKT</v>
      </c>
      <c r="G86" s="27" t="s">
        <v>37</v>
      </c>
      <c r="H86" s="27" t="s">
        <v>123</v>
      </c>
      <c r="I86" s="27" t="s">
        <v>35</v>
      </c>
      <c r="J86" s="26" t="s">
        <v>1563</v>
      </c>
      <c r="K86" s="26">
        <v>42609</v>
      </c>
      <c r="L86" s="27">
        <f t="shared" si="8"/>
        <v>1</v>
      </c>
      <c r="M86" s="45">
        <v>208200</v>
      </c>
      <c r="N86" s="45">
        <v>335700</v>
      </c>
      <c r="O86" s="27">
        <v>403</v>
      </c>
      <c r="P86" s="46">
        <f t="shared" si="9"/>
        <v>0.37980339588918677</v>
      </c>
      <c r="Q86" s="27">
        <v>26</v>
      </c>
      <c r="R86" s="44">
        <f t="shared" si="6"/>
        <v>8728200</v>
      </c>
      <c r="S86" s="29">
        <v>0.1</v>
      </c>
      <c r="T86" s="44">
        <f t="shared" si="10"/>
        <v>7855380</v>
      </c>
      <c r="U86" s="44">
        <f t="shared" si="11"/>
        <v>2442180</v>
      </c>
      <c r="V86" s="44"/>
    </row>
    <row r="87" spans="1:22" ht="14.5" x14ac:dyDescent="0.35">
      <c r="A87" s="47" t="str">
        <f t="shared" si="7"/>
        <v>JKT-UH-E1028-2017</v>
      </c>
      <c r="B87" s="26">
        <v>42893</v>
      </c>
      <c r="C87" s="42">
        <v>2017</v>
      </c>
      <c r="D87" s="27" t="s">
        <v>378</v>
      </c>
      <c r="E87" s="27" t="s">
        <v>32</v>
      </c>
      <c r="F87" s="42" t="str" cm="1">
        <f t="array" ref="F87">_xlfn.IFS(E87="Bandung","BDG",E87="Surabaya","SBY",E87="Jakarta","JKT")</f>
        <v>JKT</v>
      </c>
      <c r="G87" s="27" t="s">
        <v>33</v>
      </c>
      <c r="H87" s="27" t="s">
        <v>267</v>
      </c>
      <c r="I87" s="27" t="s">
        <v>35</v>
      </c>
      <c r="J87" s="26">
        <v>43014</v>
      </c>
      <c r="K87" s="26">
        <v>42896</v>
      </c>
      <c r="L87" s="27">
        <f t="shared" si="8"/>
        <v>3</v>
      </c>
      <c r="M87" s="45">
        <v>631650</v>
      </c>
      <c r="N87" s="45">
        <v>1214700</v>
      </c>
      <c r="O87" s="27">
        <v>148</v>
      </c>
      <c r="P87" s="46">
        <f t="shared" si="9"/>
        <v>0.47999506050876761</v>
      </c>
      <c r="Q87" s="27">
        <v>45</v>
      </c>
      <c r="R87" s="44">
        <f t="shared" si="6"/>
        <v>54661500</v>
      </c>
      <c r="S87" s="29">
        <v>0</v>
      </c>
      <c r="T87" s="44">
        <f t="shared" si="10"/>
        <v>54661500</v>
      </c>
      <c r="U87" s="44">
        <f t="shared" si="11"/>
        <v>26237250</v>
      </c>
      <c r="V87" s="44"/>
    </row>
    <row r="88" spans="1:22" ht="14.5" x14ac:dyDescent="0.35">
      <c r="A88" s="47" t="str">
        <f t="shared" si="7"/>
        <v>SBY-UA-E1038-2020</v>
      </c>
      <c r="B88" s="26">
        <v>43900</v>
      </c>
      <c r="C88" s="42">
        <v>2020</v>
      </c>
      <c r="D88" s="27" t="s">
        <v>725</v>
      </c>
      <c r="E88" s="27" t="s">
        <v>41</v>
      </c>
      <c r="F88" s="42" t="str" cm="1">
        <f t="array" ref="F88">_xlfn.IFS(E88="Bandung","BDG",E88="Surabaya","SBY",E88="Jakarta","JKT")</f>
        <v>SBY</v>
      </c>
      <c r="G88" s="27" t="s">
        <v>98</v>
      </c>
      <c r="H88" s="27" t="s">
        <v>440</v>
      </c>
      <c r="I88" s="27" t="s">
        <v>35</v>
      </c>
      <c r="J88" s="26">
        <v>43902</v>
      </c>
      <c r="K88" s="26">
        <v>44168</v>
      </c>
      <c r="L88" s="27">
        <f t="shared" si="8"/>
        <v>268</v>
      </c>
      <c r="M88" s="45">
        <v>27600</v>
      </c>
      <c r="N88" s="45">
        <v>43200</v>
      </c>
      <c r="O88" s="27">
        <v>208</v>
      </c>
      <c r="P88" s="46">
        <f t="shared" si="9"/>
        <v>0.3611111111111111</v>
      </c>
      <c r="Q88" s="27">
        <v>6</v>
      </c>
      <c r="R88" s="44">
        <f t="shared" si="6"/>
        <v>259200</v>
      </c>
      <c r="S88" s="29">
        <v>0.06</v>
      </c>
      <c r="T88" s="44">
        <f t="shared" si="10"/>
        <v>243648</v>
      </c>
      <c r="U88" s="44">
        <f t="shared" si="11"/>
        <v>78048</v>
      </c>
      <c r="V88" s="44"/>
    </row>
    <row r="89" spans="1:22" ht="14.5" x14ac:dyDescent="0.35">
      <c r="A89" s="47" t="str">
        <f t="shared" si="7"/>
        <v>SBY-UM-E1039-2017</v>
      </c>
      <c r="B89" s="26">
        <v>42825</v>
      </c>
      <c r="C89" s="42">
        <v>2017</v>
      </c>
      <c r="D89" s="27" t="s">
        <v>333</v>
      </c>
      <c r="E89" s="27" t="s">
        <v>41</v>
      </c>
      <c r="F89" s="42" t="str" cm="1">
        <f t="array" ref="F89">_xlfn.IFS(E89="Bandung","BDG",E89="Surabaya","SBY",E89="Jakarta","JKT")</f>
        <v>SBY</v>
      </c>
      <c r="G89" s="27" t="s">
        <v>103</v>
      </c>
      <c r="H89" s="27" t="s">
        <v>61</v>
      </c>
      <c r="I89" s="27" t="s">
        <v>35</v>
      </c>
      <c r="J89" s="26">
        <v>42770</v>
      </c>
      <c r="K89" s="26">
        <v>42827</v>
      </c>
      <c r="L89" s="27">
        <f t="shared" si="8"/>
        <v>2</v>
      </c>
      <c r="M89" s="45">
        <v>79950</v>
      </c>
      <c r="N89" s="45">
        <v>129000</v>
      </c>
      <c r="O89" s="27">
        <v>212</v>
      </c>
      <c r="P89" s="46">
        <f t="shared" si="9"/>
        <v>0.38023255813953488</v>
      </c>
      <c r="Q89" s="27">
        <v>23</v>
      </c>
      <c r="R89" s="44">
        <f t="shared" si="6"/>
        <v>2967000</v>
      </c>
      <c r="S89" s="29">
        <v>0.02</v>
      </c>
      <c r="T89" s="44">
        <f t="shared" si="10"/>
        <v>2907660</v>
      </c>
      <c r="U89" s="44">
        <f t="shared" si="11"/>
        <v>1068810</v>
      </c>
      <c r="V89" s="44"/>
    </row>
    <row r="90" spans="1:22" ht="14.5" x14ac:dyDescent="0.35">
      <c r="A90" s="47" t="str">
        <f t="shared" si="7"/>
        <v>SBY-TS-E1030-2017</v>
      </c>
      <c r="B90" s="26">
        <v>42915</v>
      </c>
      <c r="C90" s="42">
        <v>2017</v>
      </c>
      <c r="D90" s="27" t="s">
        <v>389</v>
      </c>
      <c r="E90" s="27" t="s">
        <v>41</v>
      </c>
      <c r="F90" s="42" t="str" cm="1">
        <f t="array" ref="F90">_xlfn.IFS(E90="Bandung","BDG",E90="Surabaya","SBY",E90="Jakarta","JKT")</f>
        <v>SBY</v>
      </c>
      <c r="G90" s="27" t="s">
        <v>42</v>
      </c>
      <c r="H90" s="27" t="s">
        <v>152</v>
      </c>
      <c r="I90" s="27" t="s">
        <v>35</v>
      </c>
      <c r="J90" s="26">
        <v>42916</v>
      </c>
      <c r="K90" s="26">
        <v>42916</v>
      </c>
      <c r="L90" s="27">
        <f t="shared" si="8"/>
        <v>1</v>
      </c>
      <c r="M90" s="45">
        <v>133800</v>
      </c>
      <c r="N90" s="45">
        <v>446100</v>
      </c>
      <c r="O90" s="27">
        <v>123</v>
      </c>
      <c r="P90" s="46">
        <f t="shared" si="9"/>
        <v>0.70006724949562882</v>
      </c>
      <c r="Q90" s="27">
        <v>25</v>
      </c>
      <c r="R90" s="44">
        <f t="shared" si="6"/>
        <v>11152500</v>
      </c>
      <c r="S90" s="29">
        <v>0</v>
      </c>
      <c r="T90" s="44">
        <f t="shared" si="10"/>
        <v>11152500</v>
      </c>
      <c r="U90" s="44">
        <f t="shared" si="11"/>
        <v>7807500</v>
      </c>
      <c r="V90" s="44"/>
    </row>
    <row r="91" spans="1:22" ht="14.5" x14ac:dyDescent="0.35">
      <c r="A91" s="47" t="str">
        <f t="shared" si="7"/>
        <v>SBY-TS-E1030-2018</v>
      </c>
      <c r="B91" s="26">
        <v>43235</v>
      </c>
      <c r="C91" s="42">
        <v>2018</v>
      </c>
      <c r="D91" s="27" t="s">
        <v>389</v>
      </c>
      <c r="E91" s="27" t="s">
        <v>41</v>
      </c>
      <c r="F91" s="42" t="str" cm="1">
        <f t="array" ref="F91">_xlfn.IFS(E91="Bandung","BDG",E91="Surabaya","SBY",E91="Jakarta","JKT")</f>
        <v>SBY</v>
      </c>
      <c r="G91" s="27" t="s">
        <v>42</v>
      </c>
      <c r="H91" s="27" t="s">
        <v>209</v>
      </c>
      <c r="I91" s="27" t="s">
        <v>46</v>
      </c>
      <c r="J91" s="26" t="s">
        <v>1664</v>
      </c>
      <c r="K91" s="26">
        <v>43237</v>
      </c>
      <c r="L91" s="27">
        <f t="shared" si="8"/>
        <v>2</v>
      </c>
      <c r="M91" s="45">
        <v>4184850</v>
      </c>
      <c r="N91" s="45">
        <v>6749850</v>
      </c>
      <c r="O91" s="27">
        <v>430</v>
      </c>
      <c r="P91" s="46">
        <f t="shared" si="9"/>
        <v>0.38000844463210293</v>
      </c>
      <c r="Q91" s="27">
        <v>25</v>
      </c>
      <c r="R91" s="44">
        <f t="shared" si="6"/>
        <v>168746250</v>
      </c>
      <c r="S91" s="29">
        <v>0.01</v>
      </c>
      <c r="T91" s="44">
        <f t="shared" si="10"/>
        <v>167058787.5</v>
      </c>
      <c r="U91" s="44">
        <f t="shared" si="11"/>
        <v>62437537.5</v>
      </c>
      <c r="V91" s="44"/>
    </row>
    <row r="92" spans="1:22" ht="14.5" x14ac:dyDescent="0.35">
      <c r="A92" s="47" t="str">
        <f t="shared" si="7"/>
        <v>SBY-TS-E1031-2019</v>
      </c>
      <c r="B92" s="26">
        <v>43613</v>
      </c>
      <c r="C92" s="42">
        <v>2019</v>
      </c>
      <c r="D92" s="27" t="s">
        <v>658</v>
      </c>
      <c r="E92" s="27" t="s">
        <v>41</v>
      </c>
      <c r="F92" s="42" t="str" cm="1">
        <f t="array" ref="F92">_xlfn.IFS(E92="Bandung","BDG",E92="Surabaya","SBY",E92="Jakarta","JKT")</f>
        <v>SBY</v>
      </c>
      <c r="G92" s="27" t="s">
        <v>48</v>
      </c>
      <c r="H92" s="27" t="s">
        <v>376</v>
      </c>
      <c r="I92" s="27" t="s">
        <v>73</v>
      </c>
      <c r="J92" s="26" t="s">
        <v>1732</v>
      </c>
      <c r="K92" s="26">
        <v>43616</v>
      </c>
      <c r="L92" s="27">
        <f t="shared" si="8"/>
        <v>3</v>
      </c>
      <c r="M92" s="45">
        <v>62850.000000000007</v>
      </c>
      <c r="N92" s="45">
        <v>153450</v>
      </c>
      <c r="O92" s="27">
        <v>276</v>
      </c>
      <c r="P92" s="46">
        <f t="shared" si="9"/>
        <v>0.59042033235581626</v>
      </c>
      <c r="Q92" s="27">
        <v>19</v>
      </c>
      <c r="R92" s="44">
        <f t="shared" si="6"/>
        <v>2915550</v>
      </c>
      <c r="S92" s="29">
        <v>0.08</v>
      </c>
      <c r="T92" s="44">
        <f t="shared" si="10"/>
        <v>2682306</v>
      </c>
      <c r="U92" s="44">
        <f t="shared" si="11"/>
        <v>1488155.9999999998</v>
      </c>
      <c r="V92" s="44"/>
    </row>
    <row r="93" spans="1:22" ht="14.5" x14ac:dyDescent="0.35">
      <c r="A93" s="47" t="str">
        <f t="shared" si="7"/>
        <v>SBY-TR-E1033-2020</v>
      </c>
      <c r="B93" s="26">
        <v>43882</v>
      </c>
      <c r="C93" s="42">
        <v>2020</v>
      </c>
      <c r="D93" s="27" t="s">
        <v>718</v>
      </c>
      <c r="E93" s="27" t="s">
        <v>41</v>
      </c>
      <c r="F93" s="42" t="str" cm="1">
        <f t="array" ref="F93">_xlfn.IFS(E93="Bandung","BDG",E93="Surabaya","SBY",E93="Jakarta","JKT")</f>
        <v>SBY</v>
      </c>
      <c r="G93" s="27" t="s">
        <v>60</v>
      </c>
      <c r="H93" s="27" t="s">
        <v>152</v>
      </c>
      <c r="I93" s="27" t="s">
        <v>35</v>
      </c>
      <c r="J93" s="26" t="s">
        <v>1774</v>
      </c>
      <c r="K93" s="26">
        <v>43887</v>
      </c>
      <c r="L93" s="27">
        <f t="shared" si="8"/>
        <v>5</v>
      </c>
      <c r="M93" s="45">
        <v>133800</v>
      </c>
      <c r="N93" s="45">
        <v>446100</v>
      </c>
      <c r="O93" s="27">
        <v>98</v>
      </c>
      <c r="P93" s="46">
        <f t="shared" si="9"/>
        <v>0.70006724949562882</v>
      </c>
      <c r="Q93" s="27">
        <v>31</v>
      </c>
      <c r="R93" s="44">
        <f t="shared" si="6"/>
        <v>13829100</v>
      </c>
      <c r="S93" s="29">
        <v>0</v>
      </c>
      <c r="T93" s="44">
        <f t="shared" si="10"/>
        <v>13829100</v>
      </c>
      <c r="U93" s="44">
        <f t="shared" si="11"/>
        <v>9681300</v>
      </c>
      <c r="V93" s="44"/>
    </row>
    <row r="94" spans="1:22" ht="14.5" x14ac:dyDescent="0.35">
      <c r="A94" s="47" t="str">
        <f t="shared" si="7"/>
        <v>JKT-TP-E1028-2017</v>
      </c>
      <c r="B94" s="26">
        <v>42790</v>
      </c>
      <c r="C94" s="42">
        <v>2017</v>
      </c>
      <c r="D94" s="27" t="s">
        <v>308</v>
      </c>
      <c r="E94" s="27" t="s">
        <v>32</v>
      </c>
      <c r="F94" s="42" t="str" cm="1">
        <f t="array" ref="F94">_xlfn.IFS(E94="Bandung","BDG",E94="Surabaya","SBY",E94="Jakarta","JKT")</f>
        <v>JKT</v>
      </c>
      <c r="G94" s="27" t="s">
        <v>33</v>
      </c>
      <c r="H94" s="27" t="s">
        <v>309</v>
      </c>
      <c r="I94" s="27" t="s">
        <v>35</v>
      </c>
      <c r="J94" s="26" t="s">
        <v>1595</v>
      </c>
      <c r="K94" s="26">
        <v>42792</v>
      </c>
      <c r="L94" s="27">
        <f t="shared" si="8"/>
        <v>2</v>
      </c>
      <c r="M94" s="45">
        <v>50550</v>
      </c>
      <c r="N94" s="45">
        <v>82950</v>
      </c>
      <c r="O94" s="27">
        <v>118</v>
      </c>
      <c r="P94" s="46">
        <f t="shared" si="9"/>
        <v>0.39059674502712477</v>
      </c>
      <c r="Q94" s="27">
        <v>17</v>
      </c>
      <c r="R94" s="44">
        <f t="shared" si="6"/>
        <v>1410150</v>
      </c>
      <c r="S94" s="29">
        <v>0.02</v>
      </c>
      <c r="T94" s="44">
        <f t="shared" si="10"/>
        <v>1381947</v>
      </c>
      <c r="U94" s="44">
        <f t="shared" si="11"/>
        <v>522597</v>
      </c>
      <c r="V94" s="44"/>
    </row>
    <row r="95" spans="1:22" ht="14.5" x14ac:dyDescent="0.35">
      <c r="A95" s="47" t="str">
        <f t="shared" si="7"/>
        <v>SBY-TK-E1031-2018</v>
      </c>
      <c r="B95" s="26">
        <v>43355</v>
      </c>
      <c r="C95" s="42">
        <v>2018</v>
      </c>
      <c r="D95" s="27" t="s">
        <v>590</v>
      </c>
      <c r="E95" s="27" t="s">
        <v>41</v>
      </c>
      <c r="F95" s="42" t="str" cm="1">
        <f t="array" ref="F95">_xlfn.IFS(E95="Bandung","BDG",E95="Surabaya","SBY",E95="Jakarta","JKT")</f>
        <v>SBY</v>
      </c>
      <c r="G95" s="27" t="s">
        <v>48</v>
      </c>
      <c r="H95" s="27" t="s">
        <v>276</v>
      </c>
      <c r="I95" s="27" t="s">
        <v>35</v>
      </c>
      <c r="J95" s="26">
        <v>43360</v>
      </c>
      <c r="K95" s="26">
        <v>43360</v>
      </c>
      <c r="L95" s="27">
        <f t="shared" si="8"/>
        <v>5</v>
      </c>
      <c r="M95" s="45">
        <v>224250</v>
      </c>
      <c r="N95" s="45">
        <v>521399.99999999994</v>
      </c>
      <c r="O95" s="27">
        <v>224</v>
      </c>
      <c r="P95" s="46">
        <f t="shared" si="9"/>
        <v>0.56990794016110469</v>
      </c>
      <c r="Q95" s="27">
        <v>43</v>
      </c>
      <c r="R95" s="44">
        <f t="shared" si="6"/>
        <v>22420199.999999996</v>
      </c>
      <c r="S95" s="29">
        <v>0.08</v>
      </c>
      <c r="T95" s="44">
        <f t="shared" si="10"/>
        <v>20626583.999999996</v>
      </c>
      <c r="U95" s="44">
        <f t="shared" si="11"/>
        <v>10983833.999999996</v>
      </c>
      <c r="V95" s="44"/>
    </row>
    <row r="96" spans="1:22" ht="14.5" x14ac:dyDescent="0.35">
      <c r="A96" s="47" t="str">
        <f t="shared" si="7"/>
        <v>SBY-TK-E1031-2018</v>
      </c>
      <c r="B96" s="26">
        <v>43382</v>
      </c>
      <c r="C96" s="42">
        <v>2018</v>
      </c>
      <c r="D96" s="27" t="s">
        <v>590</v>
      </c>
      <c r="E96" s="27" t="s">
        <v>41</v>
      </c>
      <c r="F96" s="42" t="str" cm="1">
        <f t="array" ref="F96">_xlfn.IFS(E96="Bandung","BDG",E96="Surabaya","SBY",E96="Jakarta","JKT")</f>
        <v>SBY</v>
      </c>
      <c r="G96" s="27" t="s">
        <v>48</v>
      </c>
      <c r="H96" s="27" t="s">
        <v>244</v>
      </c>
      <c r="I96" s="27" t="s">
        <v>35</v>
      </c>
      <c r="J96" s="26">
        <v>43414</v>
      </c>
      <c r="K96" s="26">
        <v>43384</v>
      </c>
      <c r="L96" s="27">
        <f t="shared" si="8"/>
        <v>2</v>
      </c>
      <c r="M96" s="45">
        <v>32700.000000000004</v>
      </c>
      <c r="N96" s="45">
        <v>52800</v>
      </c>
      <c r="O96" s="27">
        <v>155</v>
      </c>
      <c r="P96" s="46">
        <f t="shared" si="9"/>
        <v>0.38068181818181812</v>
      </c>
      <c r="Q96" s="27">
        <v>1</v>
      </c>
      <c r="R96" s="44">
        <f t="shared" si="6"/>
        <v>52800</v>
      </c>
      <c r="S96" s="29">
        <v>0.04</v>
      </c>
      <c r="T96" s="44">
        <f t="shared" si="10"/>
        <v>50688</v>
      </c>
      <c r="U96" s="44">
        <f t="shared" si="11"/>
        <v>17987.999999999996</v>
      </c>
      <c r="V96" s="44"/>
    </row>
    <row r="97" spans="1:22" ht="14.5" x14ac:dyDescent="0.35">
      <c r="A97" s="47" t="str">
        <f t="shared" si="7"/>
        <v>JKT-TW-E1029-2016</v>
      </c>
      <c r="B97" s="26">
        <v>42681</v>
      </c>
      <c r="C97" s="42">
        <v>2016</v>
      </c>
      <c r="D97" s="27" t="s">
        <v>217</v>
      </c>
      <c r="E97" s="27" t="s">
        <v>32</v>
      </c>
      <c r="F97" s="42" t="str" cm="1">
        <f t="array" ref="F97">_xlfn.IFS(E97="Bandung","BDG",E97="Surabaya","SBY",E97="Jakarta","JKT")</f>
        <v>JKT</v>
      </c>
      <c r="G97" s="27" t="s">
        <v>37</v>
      </c>
      <c r="H97" s="27" t="s">
        <v>211</v>
      </c>
      <c r="I97" s="27" t="s">
        <v>35</v>
      </c>
      <c r="J97" s="26">
        <v>42683</v>
      </c>
      <c r="K97" s="26">
        <v>42624</v>
      </c>
      <c r="L97" s="27">
        <f t="shared" si="8"/>
        <v>-57</v>
      </c>
      <c r="M97" s="45">
        <v>97650</v>
      </c>
      <c r="N97" s="45">
        <v>464700</v>
      </c>
      <c r="O97" s="27">
        <v>204</v>
      </c>
      <c r="P97" s="46">
        <f t="shared" si="9"/>
        <v>0.78986442866365392</v>
      </c>
      <c r="Q97" s="27">
        <v>8</v>
      </c>
      <c r="R97" s="44">
        <f t="shared" si="6"/>
        <v>3717600</v>
      </c>
      <c r="S97" s="29">
        <v>0.01</v>
      </c>
      <c r="T97" s="44">
        <f t="shared" si="10"/>
        <v>3680424</v>
      </c>
      <c r="U97" s="44">
        <f t="shared" si="11"/>
        <v>2899224</v>
      </c>
      <c r="V97" s="44"/>
    </row>
    <row r="98" spans="1:22" ht="14.5" x14ac:dyDescent="0.35">
      <c r="A98" s="47" t="str">
        <f t="shared" si="7"/>
        <v>SBY-TM-E1040-2019</v>
      </c>
      <c r="B98" s="26">
        <v>43741</v>
      </c>
      <c r="C98" s="42">
        <v>2019</v>
      </c>
      <c r="D98" s="27" t="s">
        <v>695</v>
      </c>
      <c r="E98" s="27" t="s">
        <v>41</v>
      </c>
      <c r="F98" s="42" t="str" cm="1">
        <f t="array" ref="F98">_xlfn.IFS(E98="Bandung","BDG",E98="Surabaya","SBY",E98="Jakarta","JKT")</f>
        <v>SBY</v>
      </c>
      <c r="G98" s="27" t="s">
        <v>160</v>
      </c>
      <c r="H98" s="27" t="s">
        <v>125</v>
      </c>
      <c r="I98" s="27" t="s">
        <v>39</v>
      </c>
      <c r="J98" s="26">
        <v>43565</v>
      </c>
      <c r="K98" s="26">
        <v>43742</v>
      </c>
      <c r="L98" s="27">
        <f t="shared" si="8"/>
        <v>1</v>
      </c>
      <c r="M98" s="45">
        <v>323400</v>
      </c>
      <c r="N98" s="45">
        <v>548250</v>
      </c>
      <c r="O98" s="27">
        <v>211</v>
      </c>
      <c r="P98" s="46">
        <f t="shared" si="9"/>
        <v>0.41012311901504789</v>
      </c>
      <c r="Q98" s="27">
        <v>34</v>
      </c>
      <c r="R98" s="44">
        <f t="shared" si="6"/>
        <v>18640500</v>
      </c>
      <c r="S98" s="29">
        <v>0.1</v>
      </c>
      <c r="T98" s="44">
        <f t="shared" si="10"/>
        <v>16776450</v>
      </c>
      <c r="U98" s="44">
        <f t="shared" si="11"/>
        <v>5780850</v>
      </c>
      <c r="V98" s="44"/>
    </row>
    <row r="99" spans="1:22" ht="14.5" x14ac:dyDescent="0.35">
      <c r="A99" s="47" t="str">
        <f t="shared" si="7"/>
        <v>SBY-TM-E1040-2019</v>
      </c>
      <c r="B99" s="26">
        <v>43813</v>
      </c>
      <c r="C99" s="42">
        <v>2019</v>
      </c>
      <c r="D99" s="27" t="s">
        <v>695</v>
      </c>
      <c r="E99" s="27" t="s">
        <v>41</v>
      </c>
      <c r="F99" s="42" t="str" cm="1">
        <f t="array" ref="F99">_xlfn.IFS(E99="Bandung","BDG",E99="Surabaya","SBY",E99="Jakarta","JKT")</f>
        <v>SBY</v>
      </c>
      <c r="G99" s="27" t="s">
        <v>160</v>
      </c>
      <c r="H99" s="27" t="s">
        <v>260</v>
      </c>
      <c r="I99" s="27" t="s">
        <v>39</v>
      </c>
      <c r="J99" s="26">
        <v>43815</v>
      </c>
      <c r="K99" s="26">
        <v>43815</v>
      </c>
      <c r="L99" s="27">
        <f t="shared" si="8"/>
        <v>2</v>
      </c>
      <c r="M99" s="45">
        <v>49800</v>
      </c>
      <c r="N99" s="45">
        <v>77700</v>
      </c>
      <c r="O99" s="27">
        <v>228</v>
      </c>
      <c r="P99" s="46">
        <f t="shared" si="9"/>
        <v>0.35907335907335908</v>
      </c>
      <c r="Q99" s="27">
        <v>32</v>
      </c>
      <c r="R99" s="44">
        <f t="shared" si="6"/>
        <v>2486400</v>
      </c>
      <c r="S99" s="29">
        <v>0.06</v>
      </c>
      <c r="T99" s="44">
        <f t="shared" si="10"/>
        <v>2337216</v>
      </c>
      <c r="U99" s="44">
        <f t="shared" si="11"/>
        <v>743616</v>
      </c>
      <c r="V99" s="44"/>
    </row>
    <row r="100" spans="1:22" ht="14.5" x14ac:dyDescent="0.35">
      <c r="A100" s="47" t="str">
        <f t="shared" si="7"/>
        <v>SBY-TM-E1032-2018</v>
      </c>
      <c r="B100" s="26">
        <v>43201</v>
      </c>
      <c r="C100" s="42">
        <v>2018</v>
      </c>
      <c r="D100" s="27" t="s">
        <v>523</v>
      </c>
      <c r="E100" s="27" t="s">
        <v>41</v>
      </c>
      <c r="F100" s="42" t="str" cm="1">
        <f t="array" ref="F100">_xlfn.IFS(E100="Bandung","BDG",E100="Surabaya","SBY",E100="Jakarta","JKT")</f>
        <v>SBY</v>
      </c>
      <c r="G100" s="27" t="s">
        <v>53</v>
      </c>
      <c r="H100" s="27" t="s">
        <v>396</v>
      </c>
      <c r="I100" s="27" t="s">
        <v>35</v>
      </c>
      <c r="J100" s="26" t="s">
        <v>1658</v>
      </c>
      <c r="K100" s="26">
        <v>43203</v>
      </c>
      <c r="L100" s="27">
        <f t="shared" si="8"/>
        <v>2</v>
      </c>
      <c r="M100" s="45">
        <v>106950</v>
      </c>
      <c r="N100" s="45">
        <v>314700</v>
      </c>
      <c r="O100" s="27">
        <v>100</v>
      </c>
      <c r="P100" s="46">
        <f t="shared" si="9"/>
        <v>0.66015252621544329</v>
      </c>
      <c r="Q100" s="27">
        <v>47</v>
      </c>
      <c r="R100" s="44">
        <f t="shared" si="6"/>
        <v>14790900</v>
      </c>
      <c r="S100" s="29">
        <v>0.01</v>
      </c>
      <c r="T100" s="44">
        <f t="shared" si="10"/>
        <v>14642991</v>
      </c>
      <c r="U100" s="44">
        <f t="shared" si="11"/>
        <v>9616341</v>
      </c>
      <c r="V100" s="44"/>
    </row>
    <row r="101" spans="1:22" ht="14.5" x14ac:dyDescent="0.35">
      <c r="A101" s="47" t="str">
        <f t="shared" si="7"/>
        <v>SBY-TM-E1032-2018</v>
      </c>
      <c r="B101" s="26">
        <v>43366</v>
      </c>
      <c r="C101" s="42">
        <v>2018</v>
      </c>
      <c r="D101" s="27" t="s">
        <v>523</v>
      </c>
      <c r="E101" s="27" t="s">
        <v>41</v>
      </c>
      <c r="F101" s="42" t="str" cm="1">
        <f t="array" ref="F101">_xlfn.IFS(E101="Bandung","BDG",E101="Surabaya","SBY",E101="Jakarta","JKT")</f>
        <v>SBY</v>
      </c>
      <c r="G101" s="27" t="s">
        <v>53</v>
      </c>
      <c r="H101" s="27" t="s">
        <v>326</v>
      </c>
      <c r="I101" s="27" t="s">
        <v>39</v>
      </c>
      <c r="J101" s="26">
        <v>43368</v>
      </c>
      <c r="K101" s="26">
        <v>43368</v>
      </c>
      <c r="L101" s="27">
        <f t="shared" si="8"/>
        <v>2</v>
      </c>
      <c r="M101" s="45">
        <v>13950</v>
      </c>
      <c r="N101" s="45">
        <v>24000</v>
      </c>
      <c r="O101" s="27">
        <v>171</v>
      </c>
      <c r="P101" s="46">
        <f t="shared" si="9"/>
        <v>0.41875000000000001</v>
      </c>
      <c r="Q101" s="27">
        <v>24</v>
      </c>
      <c r="R101" s="44">
        <f t="shared" si="6"/>
        <v>576000</v>
      </c>
      <c r="S101" s="29">
        <v>0.04</v>
      </c>
      <c r="T101" s="44">
        <f t="shared" si="10"/>
        <v>552960</v>
      </c>
      <c r="U101" s="44">
        <f t="shared" si="11"/>
        <v>218160</v>
      </c>
      <c r="V101" s="44"/>
    </row>
    <row r="102" spans="1:22" ht="14.5" x14ac:dyDescent="0.35">
      <c r="A102" s="47" t="str">
        <f t="shared" si="7"/>
        <v>SBY-TM-E1032-2019</v>
      </c>
      <c r="B102" s="26">
        <v>43554</v>
      </c>
      <c r="C102" s="42">
        <v>2019</v>
      </c>
      <c r="D102" s="27" t="s">
        <v>523</v>
      </c>
      <c r="E102" s="27" t="s">
        <v>41</v>
      </c>
      <c r="F102" s="42" t="str" cm="1">
        <f t="array" ref="F102">_xlfn.IFS(E102="Bandung","BDG",E102="Surabaya","SBY",E102="Jakarta","JKT")</f>
        <v>SBY</v>
      </c>
      <c r="G102" s="27" t="s">
        <v>53</v>
      </c>
      <c r="H102" s="27" t="s">
        <v>54</v>
      </c>
      <c r="I102" s="27" t="s">
        <v>35</v>
      </c>
      <c r="J102" s="26" t="s">
        <v>1724</v>
      </c>
      <c r="K102" s="26">
        <v>43555</v>
      </c>
      <c r="L102" s="27">
        <f t="shared" si="8"/>
        <v>1</v>
      </c>
      <c r="M102" s="45">
        <v>1490850</v>
      </c>
      <c r="N102" s="45">
        <v>2443950</v>
      </c>
      <c r="O102" s="27">
        <v>270</v>
      </c>
      <c r="P102" s="46">
        <f t="shared" si="9"/>
        <v>0.38998342846621248</v>
      </c>
      <c r="Q102" s="27">
        <v>41</v>
      </c>
      <c r="R102" s="44">
        <f t="shared" si="6"/>
        <v>100201950</v>
      </c>
      <c r="S102" s="29">
        <v>0.01</v>
      </c>
      <c r="T102" s="44">
        <f t="shared" si="10"/>
        <v>99199930.5</v>
      </c>
      <c r="U102" s="44">
        <f t="shared" si="11"/>
        <v>38075080.5</v>
      </c>
      <c r="V102" s="44"/>
    </row>
    <row r="103" spans="1:22" ht="14.5" x14ac:dyDescent="0.35">
      <c r="A103" s="47" t="str">
        <f t="shared" si="7"/>
        <v>SBY-TL-E1032-2017</v>
      </c>
      <c r="B103" s="26">
        <v>43019</v>
      </c>
      <c r="C103" s="42">
        <v>2017</v>
      </c>
      <c r="D103" s="27" t="s">
        <v>444</v>
      </c>
      <c r="E103" s="27" t="s">
        <v>41</v>
      </c>
      <c r="F103" s="42" t="str" cm="1">
        <f t="array" ref="F103">_xlfn.IFS(E103="Bandung","BDG",E103="Surabaya","SBY",E103="Jakarta","JKT")</f>
        <v>SBY</v>
      </c>
      <c r="G103" s="27" t="s">
        <v>53</v>
      </c>
      <c r="H103" s="27" t="s">
        <v>96</v>
      </c>
      <c r="I103" s="27" t="s">
        <v>35</v>
      </c>
      <c r="J103" s="26">
        <v>43019</v>
      </c>
      <c r="K103" s="26">
        <v>43049</v>
      </c>
      <c r="L103" s="27">
        <f t="shared" si="8"/>
        <v>30</v>
      </c>
      <c r="M103" s="45">
        <v>23850</v>
      </c>
      <c r="N103" s="45">
        <v>39150</v>
      </c>
      <c r="O103" s="27">
        <v>242</v>
      </c>
      <c r="P103" s="46">
        <f t="shared" si="9"/>
        <v>0.39080459770114945</v>
      </c>
      <c r="Q103" s="27">
        <v>44</v>
      </c>
      <c r="R103" s="44">
        <f t="shared" si="6"/>
        <v>1722600</v>
      </c>
      <c r="S103" s="29">
        <v>0.09</v>
      </c>
      <c r="T103" s="44">
        <f t="shared" si="10"/>
        <v>1567566</v>
      </c>
      <c r="U103" s="44">
        <f t="shared" si="11"/>
        <v>518166</v>
      </c>
      <c r="V103" s="44"/>
    </row>
    <row r="104" spans="1:22" ht="14.5" x14ac:dyDescent="0.35">
      <c r="A104" s="47" t="str">
        <f t="shared" si="7"/>
        <v>JKT-TH-E1028-2016</v>
      </c>
      <c r="B104" s="26">
        <v>42697</v>
      </c>
      <c r="C104" s="42">
        <v>2016</v>
      </c>
      <c r="D104" s="27" t="s">
        <v>240</v>
      </c>
      <c r="E104" s="27" t="s">
        <v>32</v>
      </c>
      <c r="F104" s="42" t="str" cm="1">
        <f t="array" ref="F104">_xlfn.IFS(E104="Bandung","BDG",E104="Surabaya","SBY",E104="Jakarta","JKT")</f>
        <v>JKT</v>
      </c>
      <c r="G104" s="27" t="s">
        <v>33</v>
      </c>
      <c r="H104" s="27" t="s">
        <v>241</v>
      </c>
      <c r="I104" s="27" t="s">
        <v>39</v>
      </c>
      <c r="J104" s="26" t="s">
        <v>1580</v>
      </c>
      <c r="K104" s="26">
        <v>42699</v>
      </c>
      <c r="L104" s="27">
        <f t="shared" si="8"/>
        <v>2</v>
      </c>
      <c r="M104" s="45">
        <v>13950</v>
      </c>
      <c r="N104" s="45">
        <v>22200</v>
      </c>
      <c r="O104" s="27">
        <v>261</v>
      </c>
      <c r="P104" s="46">
        <f t="shared" si="9"/>
        <v>0.3716216216216216</v>
      </c>
      <c r="Q104" s="27">
        <v>19</v>
      </c>
      <c r="R104" s="44">
        <f t="shared" si="6"/>
        <v>421800</v>
      </c>
      <c r="S104" s="29">
        <v>0.09</v>
      </c>
      <c r="T104" s="44">
        <f t="shared" si="10"/>
        <v>383838</v>
      </c>
      <c r="U104" s="44">
        <f t="shared" si="11"/>
        <v>118788</v>
      </c>
      <c r="V104" s="44"/>
    </row>
    <row r="105" spans="1:22" ht="14.5" x14ac:dyDescent="0.35">
      <c r="A105" s="47" t="str">
        <f t="shared" si="7"/>
        <v>JKT-TH-E1028-2017</v>
      </c>
      <c r="B105" s="26">
        <v>42962</v>
      </c>
      <c r="C105" s="42">
        <v>2017</v>
      </c>
      <c r="D105" s="27" t="s">
        <v>240</v>
      </c>
      <c r="E105" s="27" t="s">
        <v>32</v>
      </c>
      <c r="F105" s="42" t="str" cm="1">
        <f t="array" ref="F105">_xlfn.IFS(E105="Bandung","BDG",E105="Surabaya","SBY",E105="Jakarta","JKT")</f>
        <v>JKT</v>
      </c>
      <c r="G105" s="27" t="s">
        <v>33</v>
      </c>
      <c r="H105" s="27" t="s">
        <v>202</v>
      </c>
      <c r="I105" s="27" t="s">
        <v>39</v>
      </c>
      <c r="J105" s="26" t="s">
        <v>1621</v>
      </c>
      <c r="K105" s="26">
        <v>42966</v>
      </c>
      <c r="L105" s="27">
        <f t="shared" si="8"/>
        <v>4</v>
      </c>
      <c r="M105" s="45">
        <v>19650</v>
      </c>
      <c r="N105" s="45">
        <v>42600</v>
      </c>
      <c r="O105" s="27">
        <v>243</v>
      </c>
      <c r="P105" s="46">
        <f t="shared" si="9"/>
        <v>0.53873239436619713</v>
      </c>
      <c r="Q105" s="27">
        <v>48</v>
      </c>
      <c r="R105" s="44">
        <f t="shared" si="6"/>
        <v>2044800</v>
      </c>
      <c r="S105" s="29">
        <v>0.1</v>
      </c>
      <c r="T105" s="44">
        <f t="shared" si="10"/>
        <v>1840320</v>
      </c>
      <c r="U105" s="44">
        <f t="shared" si="11"/>
        <v>897120</v>
      </c>
      <c r="V105" s="44"/>
    </row>
    <row r="106" spans="1:22" ht="14.5" x14ac:dyDescent="0.35">
      <c r="A106" s="47" t="str">
        <f t="shared" si="7"/>
        <v>JKT-TH-E1028-2019</v>
      </c>
      <c r="B106" s="26">
        <v>43566</v>
      </c>
      <c r="C106" s="42">
        <v>2019</v>
      </c>
      <c r="D106" s="27" t="s">
        <v>648</v>
      </c>
      <c r="E106" s="27" t="s">
        <v>32</v>
      </c>
      <c r="F106" s="42" t="str" cm="1">
        <f t="array" ref="F106">_xlfn.IFS(E106="Bandung","BDG",E106="Surabaya","SBY",E106="Jakarta","JKT")</f>
        <v>JKT</v>
      </c>
      <c r="G106" s="27" t="s">
        <v>33</v>
      </c>
      <c r="H106" s="27" t="s">
        <v>119</v>
      </c>
      <c r="I106" s="27" t="s">
        <v>120</v>
      </c>
      <c r="J106" s="26">
        <v>43567</v>
      </c>
      <c r="K106" s="26">
        <v>43803</v>
      </c>
      <c r="L106" s="27">
        <f t="shared" si="8"/>
        <v>237</v>
      </c>
      <c r="M106" s="45">
        <v>132300</v>
      </c>
      <c r="N106" s="45">
        <v>314850</v>
      </c>
      <c r="O106" s="27">
        <v>343</v>
      </c>
      <c r="P106" s="46">
        <f t="shared" si="9"/>
        <v>0.57979990471653164</v>
      </c>
      <c r="Q106" s="27">
        <v>30</v>
      </c>
      <c r="R106" s="44">
        <f t="shared" si="6"/>
        <v>9445500</v>
      </c>
      <c r="S106" s="29">
        <v>0.03</v>
      </c>
      <c r="T106" s="44">
        <f t="shared" si="10"/>
        <v>9162135</v>
      </c>
      <c r="U106" s="44">
        <f t="shared" si="11"/>
        <v>5193135</v>
      </c>
      <c r="V106" s="44"/>
    </row>
    <row r="107" spans="1:22" ht="14.5" x14ac:dyDescent="0.35">
      <c r="A107" s="47" t="str">
        <f t="shared" si="7"/>
        <v>SBY-TY-E1030-2016</v>
      </c>
      <c r="B107" s="26">
        <v>42594</v>
      </c>
      <c r="C107" s="42">
        <v>2016</v>
      </c>
      <c r="D107" s="27" t="s">
        <v>104</v>
      </c>
      <c r="E107" s="27" t="s">
        <v>41</v>
      </c>
      <c r="F107" s="42" t="str" cm="1">
        <f t="array" ref="F107">_xlfn.IFS(E107="Bandung","BDG",E107="Surabaya","SBY",E107="Jakarta","JKT")</f>
        <v>SBY</v>
      </c>
      <c r="G107" s="27" t="s">
        <v>42</v>
      </c>
      <c r="H107" s="27" t="s">
        <v>105</v>
      </c>
      <c r="I107" s="27" t="s">
        <v>35</v>
      </c>
      <c r="J107" s="26" t="s">
        <v>1560</v>
      </c>
      <c r="K107" s="26">
        <v>42596</v>
      </c>
      <c r="L107" s="27">
        <f t="shared" si="8"/>
        <v>2</v>
      </c>
      <c r="M107" s="45">
        <v>151050</v>
      </c>
      <c r="N107" s="45">
        <v>239700</v>
      </c>
      <c r="O107" s="27">
        <v>315</v>
      </c>
      <c r="P107" s="46">
        <f t="shared" si="9"/>
        <v>0.36983729662077597</v>
      </c>
      <c r="Q107" s="27">
        <v>39</v>
      </c>
      <c r="R107" s="44">
        <f t="shared" si="6"/>
        <v>9348300</v>
      </c>
      <c r="S107" s="29">
        <v>0.09</v>
      </c>
      <c r="T107" s="44">
        <f t="shared" si="10"/>
        <v>8506953</v>
      </c>
      <c r="U107" s="44">
        <f t="shared" si="11"/>
        <v>2616003</v>
      </c>
      <c r="V107" s="44"/>
    </row>
    <row r="108" spans="1:22" ht="14.5" x14ac:dyDescent="0.35">
      <c r="A108" s="47" t="str">
        <f t="shared" si="7"/>
        <v>SBY-TY-E1030-2017</v>
      </c>
      <c r="B108" s="26">
        <v>42794</v>
      </c>
      <c r="C108" s="42">
        <v>2017</v>
      </c>
      <c r="D108" s="27" t="s">
        <v>104</v>
      </c>
      <c r="E108" s="27" t="s">
        <v>41</v>
      </c>
      <c r="F108" s="42" t="str" cm="1">
        <f t="array" ref="F108">_xlfn.IFS(E108="Bandung","BDG",E108="Surabaya","SBY",E108="Jakarta","JKT")</f>
        <v>SBY</v>
      </c>
      <c r="G108" s="27" t="s">
        <v>42</v>
      </c>
      <c r="H108" s="27" t="s">
        <v>132</v>
      </c>
      <c r="I108" s="27" t="s">
        <v>73</v>
      </c>
      <c r="J108" s="26" t="s">
        <v>1596</v>
      </c>
      <c r="K108" s="26">
        <v>42794</v>
      </c>
      <c r="L108" s="27">
        <f t="shared" si="8"/>
        <v>0</v>
      </c>
      <c r="M108" s="45">
        <v>82500</v>
      </c>
      <c r="N108" s="45">
        <v>183300</v>
      </c>
      <c r="O108" s="27">
        <v>178</v>
      </c>
      <c r="P108" s="46">
        <f t="shared" si="9"/>
        <v>0.54991816693944351</v>
      </c>
      <c r="Q108" s="27">
        <v>27</v>
      </c>
      <c r="R108" s="44">
        <f t="shared" si="6"/>
        <v>4949100</v>
      </c>
      <c r="S108" s="29">
        <v>7.0000000000000007E-2</v>
      </c>
      <c r="T108" s="44">
        <f t="shared" si="10"/>
        <v>4602663</v>
      </c>
      <c r="U108" s="44">
        <f t="shared" si="11"/>
        <v>2375163</v>
      </c>
      <c r="V108" s="44"/>
    </row>
    <row r="109" spans="1:22" ht="14.5" x14ac:dyDescent="0.35">
      <c r="A109" s="47" t="str">
        <f t="shared" si="7"/>
        <v>JKT-TN-E1029-2017</v>
      </c>
      <c r="B109" s="26">
        <v>43024</v>
      </c>
      <c r="C109" s="42">
        <v>2017</v>
      </c>
      <c r="D109" s="27" t="s">
        <v>447</v>
      </c>
      <c r="E109" s="27" t="s">
        <v>32</v>
      </c>
      <c r="F109" s="42" t="str" cm="1">
        <f t="array" ref="F109">_xlfn.IFS(E109="Bandung","BDG",E109="Surabaya","SBY",E109="Jakarta","JKT")</f>
        <v>JKT</v>
      </c>
      <c r="G109" s="27" t="s">
        <v>37</v>
      </c>
      <c r="H109" s="27" t="s">
        <v>260</v>
      </c>
      <c r="I109" s="27" t="s">
        <v>39</v>
      </c>
      <c r="J109" s="26" t="s">
        <v>1634</v>
      </c>
      <c r="K109" s="26">
        <v>43026</v>
      </c>
      <c r="L109" s="27">
        <f t="shared" si="8"/>
        <v>2</v>
      </c>
      <c r="M109" s="45">
        <v>49800</v>
      </c>
      <c r="N109" s="45">
        <v>77700</v>
      </c>
      <c r="O109" s="27">
        <v>196</v>
      </c>
      <c r="P109" s="46">
        <f t="shared" si="9"/>
        <v>0.35907335907335908</v>
      </c>
      <c r="Q109" s="27">
        <v>43</v>
      </c>
      <c r="R109" s="44">
        <f t="shared" si="6"/>
        <v>3341100</v>
      </c>
      <c r="S109" s="29">
        <v>0.03</v>
      </c>
      <c r="T109" s="44">
        <f t="shared" si="10"/>
        <v>3240867</v>
      </c>
      <c r="U109" s="44">
        <f t="shared" si="11"/>
        <v>1099467</v>
      </c>
      <c r="V109" s="44"/>
    </row>
    <row r="110" spans="1:22" ht="14.5" x14ac:dyDescent="0.35">
      <c r="A110" s="47" t="str">
        <f t="shared" si="7"/>
        <v>JKT-TN-E1029-2018</v>
      </c>
      <c r="B110" s="26">
        <v>43139</v>
      </c>
      <c r="C110" s="42">
        <v>2018</v>
      </c>
      <c r="D110" s="27" t="s">
        <v>447</v>
      </c>
      <c r="E110" s="27" t="s">
        <v>32</v>
      </c>
      <c r="F110" s="42" t="str" cm="1">
        <f t="array" ref="F110">_xlfn.IFS(E110="Bandung","BDG",E110="Surabaya","SBY",E110="Jakarta","JKT")</f>
        <v>JKT</v>
      </c>
      <c r="G110" s="27" t="s">
        <v>37</v>
      </c>
      <c r="H110" s="27" t="s">
        <v>370</v>
      </c>
      <c r="I110" s="27" t="s">
        <v>39</v>
      </c>
      <c r="J110" s="26">
        <v>43143</v>
      </c>
      <c r="K110" s="26">
        <v>43436</v>
      </c>
      <c r="L110" s="27">
        <f t="shared" si="8"/>
        <v>297</v>
      </c>
      <c r="M110" s="45">
        <v>32400.000000000004</v>
      </c>
      <c r="N110" s="45">
        <v>57750</v>
      </c>
      <c r="O110" s="27">
        <v>95</v>
      </c>
      <c r="P110" s="46">
        <f t="shared" si="9"/>
        <v>0.43896103896103889</v>
      </c>
      <c r="Q110" s="27">
        <v>10</v>
      </c>
      <c r="R110" s="44">
        <f t="shared" si="6"/>
        <v>577500</v>
      </c>
      <c r="S110" s="29">
        <v>0.06</v>
      </c>
      <c r="T110" s="44">
        <f t="shared" si="10"/>
        <v>542850</v>
      </c>
      <c r="U110" s="44">
        <f t="shared" si="11"/>
        <v>218849.99999999994</v>
      </c>
      <c r="V110" s="44"/>
    </row>
    <row r="111" spans="1:22" ht="14.5" x14ac:dyDescent="0.35">
      <c r="A111" s="47" t="str">
        <f t="shared" si="7"/>
        <v>JKT-TN-E1029-2018</v>
      </c>
      <c r="B111" s="26">
        <v>43348</v>
      </c>
      <c r="C111" s="42">
        <v>2018</v>
      </c>
      <c r="D111" s="27" t="s">
        <v>447</v>
      </c>
      <c r="E111" s="27" t="s">
        <v>32</v>
      </c>
      <c r="F111" s="42" t="str" cm="1">
        <f t="array" ref="F111">_xlfn.IFS(E111="Bandung","BDG",E111="Surabaya","SBY",E111="Jakarta","JKT")</f>
        <v>JKT</v>
      </c>
      <c r="G111" s="27" t="s">
        <v>37</v>
      </c>
      <c r="H111" s="27" t="s">
        <v>130</v>
      </c>
      <c r="I111" s="27" t="s">
        <v>39</v>
      </c>
      <c r="J111" s="26">
        <v>43352</v>
      </c>
      <c r="K111" s="26">
        <v>43352</v>
      </c>
      <c r="L111" s="27">
        <f t="shared" si="8"/>
        <v>4</v>
      </c>
      <c r="M111" s="45">
        <v>56250</v>
      </c>
      <c r="N111" s="45">
        <v>106200</v>
      </c>
      <c r="O111" s="27">
        <v>406</v>
      </c>
      <c r="P111" s="46">
        <f t="shared" si="9"/>
        <v>0.47033898305084748</v>
      </c>
      <c r="Q111" s="27">
        <v>49</v>
      </c>
      <c r="R111" s="44">
        <f t="shared" si="6"/>
        <v>5203800</v>
      </c>
      <c r="S111" s="29">
        <v>0</v>
      </c>
      <c r="T111" s="44">
        <f t="shared" si="10"/>
        <v>5203800</v>
      </c>
      <c r="U111" s="44">
        <f t="shared" si="11"/>
        <v>2447550</v>
      </c>
      <c r="V111" s="44"/>
    </row>
    <row r="112" spans="1:22" ht="14.5" x14ac:dyDescent="0.35">
      <c r="A112" s="47" t="str">
        <f t="shared" si="7"/>
        <v>SBY-TG-E1033-2018</v>
      </c>
      <c r="B112" s="26">
        <v>43183</v>
      </c>
      <c r="C112" s="42">
        <v>2018</v>
      </c>
      <c r="D112" s="27" t="s">
        <v>517</v>
      </c>
      <c r="E112" s="27" t="s">
        <v>41</v>
      </c>
      <c r="F112" s="42" t="str" cm="1">
        <f t="array" ref="F112">_xlfn.IFS(E112="Bandung","BDG",E112="Surabaya","SBY",E112="Jakarta","JKT")</f>
        <v>SBY</v>
      </c>
      <c r="G112" s="27" t="s">
        <v>60</v>
      </c>
      <c r="H112" s="27" t="s">
        <v>115</v>
      </c>
      <c r="I112" s="27" t="s">
        <v>73</v>
      </c>
      <c r="J112" s="26">
        <v>43185</v>
      </c>
      <c r="K112" s="26">
        <v>43185</v>
      </c>
      <c r="L112" s="27">
        <f t="shared" si="8"/>
        <v>2</v>
      </c>
      <c r="M112" s="45">
        <v>28050</v>
      </c>
      <c r="N112" s="45">
        <v>121799.99999999999</v>
      </c>
      <c r="O112" s="27">
        <v>223</v>
      </c>
      <c r="P112" s="46">
        <f t="shared" si="9"/>
        <v>0.76970443349753692</v>
      </c>
      <c r="Q112" s="27">
        <v>11</v>
      </c>
      <c r="R112" s="44">
        <f t="shared" si="6"/>
        <v>1339799.9999999998</v>
      </c>
      <c r="S112" s="29">
        <v>0.06</v>
      </c>
      <c r="T112" s="44">
        <f t="shared" si="10"/>
        <v>1259411.9999999998</v>
      </c>
      <c r="U112" s="44">
        <f t="shared" si="11"/>
        <v>950861.99999999977</v>
      </c>
      <c r="V112" s="44"/>
    </row>
    <row r="113" spans="1:22" ht="14.5" x14ac:dyDescent="0.35">
      <c r="A113" s="47" t="str">
        <f t="shared" si="7"/>
        <v>SBY-TB-E1040-2017</v>
      </c>
      <c r="B113" s="26">
        <v>42935</v>
      </c>
      <c r="C113" s="42">
        <v>2017</v>
      </c>
      <c r="D113" s="27" t="s">
        <v>399</v>
      </c>
      <c r="E113" s="27" t="s">
        <v>41</v>
      </c>
      <c r="F113" s="42" t="str" cm="1">
        <f t="array" ref="F113">_xlfn.IFS(E113="Bandung","BDG",E113="Surabaya","SBY",E113="Jakarta","JKT")</f>
        <v>SBY</v>
      </c>
      <c r="G113" s="27" t="s">
        <v>160</v>
      </c>
      <c r="H113" s="27" t="s">
        <v>400</v>
      </c>
      <c r="I113" s="27" t="s">
        <v>39</v>
      </c>
      <c r="J113" s="26" t="s">
        <v>1616</v>
      </c>
      <c r="K113" s="26">
        <v>42940</v>
      </c>
      <c r="L113" s="27">
        <f t="shared" si="8"/>
        <v>5</v>
      </c>
      <c r="M113" s="45">
        <v>15750</v>
      </c>
      <c r="N113" s="45">
        <v>29250</v>
      </c>
      <c r="O113" s="27">
        <v>78</v>
      </c>
      <c r="P113" s="46">
        <f t="shared" si="9"/>
        <v>0.46153846153846156</v>
      </c>
      <c r="Q113" s="27">
        <v>31</v>
      </c>
      <c r="R113" s="44">
        <f t="shared" si="6"/>
        <v>906750</v>
      </c>
      <c r="S113" s="29">
        <v>0.02</v>
      </c>
      <c r="T113" s="44">
        <f t="shared" si="10"/>
        <v>888615</v>
      </c>
      <c r="U113" s="44">
        <f t="shared" si="11"/>
        <v>400365</v>
      </c>
      <c r="V113" s="44"/>
    </row>
    <row r="114" spans="1:22" ht="14.5" x14ac:dyDescent="0.35">
      <c r="A114" s="47" t="str">
        <f t="shared" si="7"/>
        <v>SBY-TN-E1032-2017</v>
      </c>
      <c r="B114" s="26">
        <v>42869</v>
      </c>
      <c r="C114" s="42">
        <v>2017</v>
      </c>
      <c r="D114" s="27" t="s">
        <v>358</v>
      </c>
      <c r="E114" s="27" t="s">
        <v>41</v>
      </c>
      <c r="F114" s="42" t="str" cm="1">
        <f t="array" ref="F114">_xlfn.IFS(E114="Bandung","BDG",E114="Surabaya","SBY",E114="Jakarta","JKT")</f>
        <v>SBY</v>
      </c>
      <c r="G114" s="27" t="s">
        <v>53</v>
      </c>
      <c r="H114" s="27" t="s">
        <v>134</v>
      </c>
      <c r="I114" s="27" t="s">
        <v>35</v>
      </c>
      <c r="J114" s="26" t="s">
        <v>1608</v>
      </c>
      <c r="K114" s="26">
        <v>42871</v>
      </c>
      <c r="L114" s="27">
        <f t="shared" si="8"/>
        <v>2</v>
      </c>
      <c r="M114" s="45">
        <v>204600</v>
      </c>
      <c r="N114" s="45">
        <v>314700</v>
      </c>
      <c r="O114" s="27">
        <v>187</v>
      </c>
      <c r="P114" s="46">
        <f t="shared" si="9"/>
        <v>0.34985700667302194</v>
      </c>
      <c r="Q114" s="27">
        <v>31</v>
      </c>
      <c r="R114" s="44">
        <f t="shared" si="6"/>
        <v>9755700</v>
      </c>
      <c r="S114" s="29">
        <v>0.09</v>
      </c>
      <c r="T114" s="44">
        <f t="shared" si="10"/>
        <v>8877687</v>
      </c>
      <c r="U114" s="44">
        <f t="shared" si="11"/>
        <v>2535087</v>
      </c>
      <c r="V114" s="44"/>
    </row>
    <row r="115" spans="1:22" ht="14.5" x14ac:dyDescent="0.35">
      <c r="A115" s="47" t="str">
        <f t="shared" si="7"/>
        <v>SBY-TH-E1034-2017</v>
      </c>
      <c r="B115" s="26">
        <v>42835</v>
      </c>
      <c r="C115" s="42">
        <v>2017</v>
      </c>
      <c r="D115" s="27" t="s">
        <v>337</v>
      </c>
      <c r="E115" s="27" t="s">
        <v>41</v>
      </c>
      <c r="F115" s="42" t="str" cm="1">
        <f t="array" ref="F115">_xlfn.IFS(E115="Bandung","BDG",E115="Surabaya","SBY",E115="Jakarta","JKT")</f>
        <v>SBY</v>
      </c>
      <c r="G115" s="27" t="s">
        <v>65</v>
      </c>
      <c r="H115" s="27" t="s">
        <v>234</v>
      </c>
      <c r="I115" s="27" t="s">
        <v>35</v>
      </c>
      <c r="J115" s="26">
        <v>42837</v>
      </c>
      <c r="K115" s="26">
        <v>43073</v>
      </c>
      <c r="L115" s="27">
        <f t="shared" si="8"/>
        <v>238</v>
      </c>
      <c r="M115" s="45">
        <v>275700</v>
      </c>
      <c r="N115" s="45">
        <v>437550</v>
      </c>
      <c r="O115" s="27">
        <v>97</v>
      </c>
      <c r="P115" s="46">
        <f t="shared" si="9"/>
        <v>0.36990058279053822</v>
      </c>
      <c r="Q115" s="27">
        <v>37</v>
      </c>
      <c r="R115" s="44">
        <f t="shared" si="6"/>
        <v>16189350</v>
      </c>
      <c r="S115" s="29">
        <v>0.09</v>
      </c>
      <c r="T115" s="44">
        <f t="shared" si="10"/>
        <v>14732308.5</v>
      </c>
      <c r="U115" s="44">
        <f t="shared" si="11"/>
        <v>4531408.5</v>
      </c>
      <c r="V115" s="44"/>
    </row>
    <row r="116" spans="1:22" ht="14.5" x14ac:dyDescent="0.35">
      <c r="A116" s="47" t="str">
        <f t="shared" si="7"/>
        <v>SBY-TH-E1034-2018</v>
      </c>
      <c r="B116" s="26">
        <v>43380</v>
      </c>
      <c r="C116" s="42">
        <v>2018</v>
      </c>
      <c r="D116" s="27" t="s">
        <v>337</v>
      </c>
      <c r="E116" s="27" t="s">
        <v>41</v>
      </c>
      <c r="F116" s="42" t="str" cm="1">
        <f t="array" ref="F116">_xlfn.IFS(E116="Bandung","BDG",E116="Surabaya","SBY",E116="Jakarta","JKT")</f>
        <v>SBY</v>
      </c>
      <c r="G116" s="27" t="s">
        <v>65</v>
      </c>
      <c r="H116" s="27" t="s">
        <v>267</v>
      </c>
      <c r="I116" s="27" t="s">
        <v>35</v>
      </c>
      <c r="J116" s="26">
        <v>43382</v>
      </c>
      <c r="K116" s="26">
        <v>43353</v>
      </c>
      <c r="L116" s="27">
        <f t="shared" si="8"/>
        <v>-27</v>
      </c>
      <c r="M116" s="45">
        <v>631650</v>
      </c>
      <c r="N116" s="45">
        <v>1214700</v>
      </c>
      <c r="O116" s="27">
        <v>103</v>
      </c>
      <c r="P116" s="46">
        <f t="shared" si="9"/>
        <v>0.47999506050876761</v>
      </c>
      <c r="Q116" s="27">
        <v>34</v>
      </c>
      <c r="R116" s="44">
        <f t="shared" si="6"/>
        <v>41299800</v>
      </c>
      <c r="S116" s="29">
        <v>0.02</v>
      </c>
      <c r="T116" s="44">
        <f t="shared" si="10"/>
        <v>40473804</v>
      </c>
      <c r="U116" s="44">
        <f t="shared" si="11"/>
        <v>18997704</v>
      </c>
      <c r="V116" s="44"/>
    </row>
    <row r="117" spans="1:22" ht="14.5" x14ac:dyDescent="0.35">
      <c r="A117" s="47" t="str">
        <f t="shared" si="7"/>
        <v>SBY-TH-E1034-2018</v>
      </c>
      <c r="B117" s="26">
        <v>43380</v>
      </c>
      <c r="C117" s="42">
        <v>2018</v>
      </c>
      <c r="D117" s="27" t="s">
        <v>337</v>
      </c>
      <c r="E117" s="27" t="s">
        <v>41</v>
      </c>
      <c r="F117" s="42" t="str" cm="1">
        <f t="array" ref="F117">_xlfn.IFS(E117="Bandung","BDG",E117="Surabaya","SBY",E117="Jakarta","JKT")</f>
        <v>SBY</v>
      </c>
      <c r="G117" s="27" t="s">
        <v>65</v>
      </c>
      <c r="H117" s="27" t="s">
        <v>51</v>
      </c>
      <c r="I117" s="27" t="s">
        <v>39</v>
      </c>
      <c r="J117" s="26">
        <v>43291</v>
      </c>
      <c r="K117" s="26">
        <v>43380</v>
      </c>
      <c r="L117" s="27">
        <f t="shared" si="8"/>
        <v>0</v>
      </c>
      <c r="M117" s="45">
        <v>16350.000000000002</v>
      </c>
      <c r="N117" s="45">
        <v>39000</v>
      </c>
      <c r="O117" s="27">
        <v>283</v>
      </c>
      <c r="P117" s="46">
        <f t="shared" si="9"/>
        <v>0.58076923076923082</v>
      </c>
      <c r="Q117" s="27">
        <v>26</v>
      </c>
      <c r="R117" s="44">
        <f t="shared" si="6"/>
        <v>1014000</v>
      </c>
      <c r="S117" s="29">
        <v>0.08</v>
      </c>
      <c r="T117" s="44">
        <f t="shared" si="10"/>
        <v>932880</v>
      </c>
      <c r="U117" s="44">
        <f t="shared" si="11"/>
        <v>507779.99999999994</v>
      </c>
      <c r="V117" s="44"/>
    </row>
    <row r="118" spans="1:22" ht="14.5" x14ac:dyDescent="0.35">
      <c r="A118" s="47" t="str">
        <f t="shared" si="7"/>
        <v>SBY-TH-E1034-2019</v>
      </c>
      <c r="B118" s="26">
        <v>43756</v>
      </c>
      <c r="C118" s="42">
        <v>2019</v>
      </c>
      <c r="D118" s="27" t="s">
        <v>337</v>
      </c>
      <c r="E118" s="27" t="s">
        <v>41</v>
      </c>
      <c r="F118" s="42" t="str" cm="1">
        <f t="array" ref="F118">_xlfn.IFS(E118="Bandung","BDG",E118="Surabaya","SBY",E118="Jakarta","JKT")</f>
        <v>SBY</v>
      </c>
      <c r="G118" s="27" t="s">
        <v>65</v>
      </c>
      <c r="H118" s="27" t="s">
        <v>229</v>
      </c>
      <c r="I118" s="27" t="s">
        <v>35</v>
      </c>
      <c r="J118" s="26" t="s">
        <v>1755</v>
      </c>
      <c r="K118" s="26">
        <v>43758</v>
      </c>
      <c r="L118" s="27">
        <f t="shared" si="8"/>
        <v>2</v>
      </c>
      <c r="M118" s="45">
        <v>33900</v>
      </c>
      <c r="N118" s="45">
        <v>53700</v>
      </c>
      <c r="O118" s="27">
        <v>299</v>
      </c>
      <c r="P118" s="46">
        <f t="shared" si="9"/>
        <v>0.36871508379888268</v>
      </c>
      <c r="Q118" s="27">
        <v>36</v>
      </c>
      <c r="R118" s="44">
        <f t="shared" si="6"/>
        <v>1933200</v>
      </c>
      <c r="S118" s="29">
        <v>0.04</v>
      </c>
      <c r="T118" s="44">
        <f t="shared" si="10"/>
        <v>1855872</v>
      </c>
      <c r="U118" s="44">
        <f t="shared" si="11"/>
        <v>635472</v>
      </c>
      <c r="V118" s="44"/>
    </row>
    <row r="119" spans="1:22" ht="14.5" x14ac:dyDescent="0.35">
      <c r="A119" s="47" t="str">
        <f t="shared" si="7"/>
        <v>JKT-TH-E1028-2017</v>
      </c>
      <c r="B119" s="26">
        <v>42805</v>
      </c>
      <c r="C119" s="42">
        <v>2017</v>
      </c>
      <c r="D119" s="27" t="s">
        <v>321</v>
      </c>
      <c r="E119" s="27" t="s">
        <v>32</v>
      </c>
      <c r="F119" s="42" t="str" cm="1">
        <f t="array" ref="F119">_xlfn.IFS(E119="Bandung","BDG",E119="Surabaya","SBY",E119="Jakarta","JKT")</f>
        <v>JKT</v>
      </c>
      <c r="G119" s="27" t="s">
        <v>33</v>
      </c>
      <c r="H119" s="27" t="s">
        <v>84</v>
      </c>
      <c r="I119" s="27" t="s">
        <v>35</v>
      </c>
      <c r="J119" s="26">
        <v>42807</v>
      </c>
      <c r="K119" s="26">
        <v>42807</v>
      </c>
      <c r="L119" s="27">
        <f t="shared" si="8"/>
        <v>2</v>
      </c>
      <c r="M119" s="45">
        <v>1223850</v>
      </c>
      <c r="N119" s="45">
        <v>2399850</v>
      </c>
      <c r="O119" s="27">
        <v>130</v>
      </c>
      <c r="P119" s="46">
        <f t="shared" si="9"/>
        <v>0.49003062691418214</v>
      </c>
      <c r="Q119" s="27">
        <v>50</v>
      </c>
      <c r="R119" s="44">
        <f t="shared" si="6"/>
        <v>119992500</v>
      </c>
      <c r="S119" s="29">
        <v>0.05</v>
      </c>
      <c r="T119" s="44">
        <f t="shared" si="10"/>
        <v>113992875</v>
      </c>
      <c r="U119" s="44">
        <f t="shared" si="11"/>
        <v>52800375</v>
      </c>
      <c r="V119" s="44"/>
    </row>
    <row r="120" spans="1:22" ht="14.5" x14ac:dyDescent="0.35">
      <c r="A120" s="47" t="str">
        <f t="shared" si="7"/>
        <v>JKT-TH-E1028-2018</v>
      </c>
      <c r="B120" s="26">
        <v>43424</v>
      </c>
      <c r="C120" s="42">
        <v>2018</v>
      </c>
      <c r="D120" s="27" t="s">
        <v>321</v>
      </c>
      <c r="E120" s="27" t="s">
        <v>32</v>
      </c>
      <c r="F120" s="42" t="str" cm="1">
        <f t="array" ref="F120">_xlfn.IFS(E120="Bandung","BDG",E120="Surabaya","SBY",E120="Jakarta","JKT")</f>
        <v>JKT</v>
      </c>
      <c r="G120" s="27" t="s">
        <v>33</v>
      </c>
      <c r="H120" s="27" t="s">
        <v>61</v>
      </c>
      <c r="I120" s="27" t="s">
        <v>35</v>
      </c>
      <c r="J120" s="26" t="s">
        <v>1704</v>
      </c>
      <c r="K120" s="26">
        <v>43425</v>
      </c>
      <c r="L120" s="27">
        <f t="shared" si="8"/>
        <v>1</v>
      </c>
      <c r="M120" s="45">
        <v>79950</v>
      </c>
      <c r="N120" s="45">
        <v>129000</v>
      </c>
      <c r="O120" s="27">
        <v>189</v>
      </c>
      <c r="P120" s="46">
        <f t="shared" si="9"/>
        <v>0.38023255813953488</v>
      </c>
      <c r="Q120" s="27">
        <v>15</v>
      </c>
      <c r="R120" s="44">
        <f t="shared" si="6"/>
        <v>1935000</v>
      </c>
      <c r="S120" s="29">
        <v>0.04</v>
      </c>
      <c r="T120" s="44">
        <f t="shared" si="10"/>
        <v>1857600</v>
      </c>
      <c r="U120" s="44">
        <f t="shared" si="11"/>
        <v>658350</v>
      </c>
      <c r="V120" s="44"/>
    </row>
    <row r="121" spans="1:22" ht="14.5" x14ac:dyDescent="0.35">
      <c r="A121" s="47" t="str">
        <f t="shared" si="7"/>
        <v>JKT-TH-E1028-2020</v>
      </c>
      <c r="B121" s="26">
        <v>43868</v>
      </c>
      <c r="C121" s="42">
        <v>2020</v>
      </c>
      <c r="D121" s="27" t="s">
        <v>321</v>
      </c>
      <c r="E121" s="27" t="s">
        <v>32</v>
      </c>
      <c r="F121" s="42" t="str" cm="1">
        <f t="array" ref="F121">_xlfn.IFS(E121="Bandung","BDG",E121="Surabaya","SBY",E121="Jakarta","JKT")</f>
        <v>JKT</v>
      </c>
      <c r="G121" s="27" t="s">
        <v>33</v>
      </c>
      <c r="H121" s="27" t="s">
        <v>96</v>
      </c>
      <c r="I121" s="27" t="s">
        <v>35</v>
      </c>
      <c r="J121" s="26">
        <v>43870</v>
      </c>
      <c r="K121" s="26">
        <v>44076</v>
      </c>
      <c r="L121" s="27">
        <f t="shared" si="8"/>
        <v>208</v>
      </c>
      <c r="M121" s="45">
        <v>23850</v>
      </c>
      <c r="N121" s="45">
        <v>39150</v>
      </c>
      <c r="O121" s="27">
        <v>198</v>
      </c>
      <c r="P121" s="46">
        <f t="shared" si="9"/>
        <v>0.39080459770114945</v>
      </c>
      <c r="Q121" s="27">
        <v>25</v>
      </c>
      <c r="R121" s="44">
        <f t="shared" si="6"/>
        <v>978750</v>
      </c>
      <c r="S121" s="29">
        <v>0.04</v>
      </c>
      <c r="T121" s="44">
        <f t="shared" si="10"/>
        <v>939600</v>
      </c>
      <c r="U121" s="44">
        <f t="shared" si="11"/>
        <v>343350</v>
      </c>
      <c r="V121" s="44"/>
    </row>
    <row r="122" spans="1:22" ht="14.5" x14ac:dyDescent="0.35">
      <c r="A122" s="47" t="str">
        <f t="shared" si="7"/>
        <v>SBY-TA-E1037-2017</v>
      </c>
      <c r="B122" s="26">
        <v>42849</v>
      </c>
      <c r="C122" s="42">
        <v>2017</v>
      </c>
      <c r="D122" s="27" t="s">
        <v>345</v>
      </c>
      <c r="E122" s="27" t="s">
        <v>41</v>
      </c>
      <c r="F122" s="42" t="str" cm="1">
        <f t="array" ref="F122">_xlfn.IFS(E122="Bandung","BDG",E122="Surabaya","SBY",E122="Jakarta","JKT")</f>
        <v>SBY</v>
      </c>
      <c r="G122" s="27" t="s">
        <v>83</v>
      </c>
      <c r="H122" s="27" t="s">
        <v>180</v>
      </c>
      <c r="I122" s="27" t="s">
        <v>35</v>
      </c>
      <c r="J122" s="26">
        <v>42849</v>
      </c>
      <c r="K122" s="26">
        <v>42849</v>
      </c>
      <c r="L122" s="27">
        <f t="shared" si="8"/>
        <v>0</v>
      </c>
      <c r="M122" s="45">
        <v>51000</v>
      </c>
      <c r="N122" s="45">
        <v>81000</v>
      </c>
      <c r="O122" s="27">
        <v>222</v>
      </c>
      <c r="P122" s="46">
        <f t="shared" si="9"/>
        <v>0.37037037037037035</v>
      </c>
      <c r="Q122" s="27">
        <v>9</v>
      </c>
      <c r="R122" s="44">
        <f t="shared" si="6"/>
        <v>729000</v>
      </c>
      <c r="S122" s="29">
        <v>0.09</v>
      </c>
      <c r="T122" s="44">
        <f t="shared" si="10"/>
        <v>663390</v>
      </c>
      <c r="U122" s="44">
        <f t="shared" si="11"/>
        <v>204390</v>
      </c>
      <c r="V122" s="44"/>
    </row>
    <row r="123" spans="1:22" ht="14.5" x14ac:dyDescent="0.35">
      <c r="A123" s="47" t="str">
        <f t="shared" si="7"/>
        <v>SBY-TA-E1037-2017</v>
      </c>
      <c r="B123" s="26">
        <v>42849</v>
      </c>
      <c r="C123" s="42">
        <v>2017</v>
      </c>
      <c r="D123" s="27" t="s">
        <v>345</v>
      </c>
      <c r="E123" s="27" t="s">
        <v>41</v>
      </c>
      <c r="F123" s="42" t="str" cm="1">
        <f t="array" ref="F123">_xlfn.IFS(E123="Bandung","BDG",E123="Surabaya","SBY",E123="Jakarta","JKT")</f>
        <v>SBY</v>
      </c>
      <c r="G123" s="27" t="s">
        <v>83</v>
      </c>
      <c r="H123" s="27" t="s">
        <v>89</v>
      </c>
      <c r="I123" s="27" t="s">
        <v>73</v>
      </c>
      <c r="J123" s="26">
        <v>42850</v>
      </c>
      <c r="K123" s="26">
        <v>42850</v>
      </c>
      <c r="L123" s="27">
        <f t="shared" si="8"/>
        <v>1</v>
      </c>
      <c r="M123" s="45">
        <v>14100</v>
      </c>
      <c r="N123" s="45">
        <v>31200</v>
      </c>
      <c r="O123" s="27">
        <v>285</v>
      </c>
      <c r="P123" s="46">
        <f t="shared" si="9"/>
        <v>0.54807692307692313</v>
      </c>
      <c r="Q123" s="27">
        <v>43</v>
      </c>
      <c r="R123" s="44">
        <f t="shared" si="6"/>
        <v>1341600</v>
      </c>
      <c r="S123" s="29">
        <v>0.05</v>
      </c>
      <c r="T123" s="44">
        <f t="shared" si="10"/>
        <v>1274520</v>
      </c>
      <c r="U123" s="44">
        <f t="shared" si="11"/>
        <v>668220</v>
      </c>
      <c r="V123" s="44"/>
    </row>
    <row r="124" spans="1:22" ht="14.5" x14ac:dyDescent="0.35">
      <c r="A124" s="47" t="str">
        <f t="shared" si="7"/>
        <v>SBY-TA-E1037-2017</v>
      </c>
      <c r="B124" s="26">
        <v>42930</v>
      </c>
      <c r="C124" s="42">
        <v>2017</v>
      </c>
      <c r="D124" s="27" t="s">
        <v>345</v>
      </c>
      <c r="E124" s="27" t="s">
        <v>41</v>
      </c>
      <c r="F124" s="42" t="str" cm="1">
        <f t="array" ref="F124">_xlfn.IFS(E124="Bandung","BDG",E124="Surabaya","SBY",E124="Jakarta","JKT")</f>
        <v>SBY</v>
      </c>
      <c r="G124" s="27" t="s">
        <v>83</v>
      </c>
      <c r="H124" s="27" t="s">
        <v>298</v>
      </c>
      <c r="I124" s="27" t="s">
        <v>73</v>
      </c>
      <c r="J124" s="26">
        <v>42931</v>
      </c>
      <c r="K124" s="26">
        <v>42931</v>
      </c>
      <c r="L124" s="27">
        <f t="shared" si="8"/>
        <v>1</v>
      </c>
      <c r="M124" s="45">
        <v>252000</v>
      </c>
      <c r="N124" s="45">
        <v>614550</v>
      </c>
      <c r="O124" s="27">
        <v>364</v>
      </c>
      <c r="P124" s="46">
        <f t="shared" si="9"/>
        <v>0.58994386136197219</v>
      </c>
      <c r="Q124" s="27">
        <v>44</v>
      </c>
      <c r="R124" s="44">
        <f t="shared" si="6"/>
        <v>27040200</v>
      </c>
      <c r="S124" s="29">
        <v>0.08</v>
      </c>
      <c r="T124" s="44">
        <f t="shared" si="10"/>
        <v>24876984</v>
      </c>
      <c r="U124" s="44">
        <f t="shared" si="11"/>
        <v>13788984</v>
      </c>
      <c r="V124" s="44"/>
    </row>
    <row r="125" spans="1:22" ht="14.5" x14ac:dyDescent="0.35">
      <c r="A125" s="47" t="str">
        <f t="shared" si="7"/>
        <v>JKT-TM-E1029-2017</v>
      </c>
      <c r="B125" s="26">
        <v>43062</v>
      </c>
      <c r="C125" s="42">
        <v>2017</v>
      </c>
      <c r="D125" s="27" t="s">
        <v>470</v>
      </c>
      <c r="E125" s="27" t="s">
        <v>32</v>
      </c>
      <c r="F125" s="42" t="str" cm="1">
        <f t="array" ref="F125">_xlfn.IFS(E125="Bandung","BDG",E125="Surabaya","SBY",E125="Jakarta","JKT")</f>
        <v>JKT</v>
      </c>
      <c r="G125" s="27" t="s">
        <v>37</v>
      </c>
      <c r="H125" s="27" t="s">
        <v>130</v>
      </c>
      <c r="I125" s="27" t="s">
        <v>39</v>
      </c>
      <c r="J125" s="26">
        <v>43064</v>
      </c>
      <c r="K125" s="26">
        <v>43064</v>
      </c>
      <c r="L125" s="27">
        <f t="shared" si="8"/>
        <v>2</v>
      </c>
      <c r="M125" s="45">
        <v>56250</v>
      </c>
      <c r="N125" s="45">
        <v>106200</v>
      </c>
      <c r="O125" s="27">
        <v>357</v>
      </c>
      <c r="P125" s="46">
        <f t="shared" si="9"/>
        <v>0.47033898305084748</v>
      </c>
      <c r="Q125" s="27">
        <v>47</v>
      </c>
      <c r="R125" s="44">
        <f t="shared" si="6"/>
        <v>4991400</v>
      </c>
      <c r="S125" s="29">
        <v>0.1</v>
      </c>
      <c r="T125" s="44">
        <f t="shared" si="10"/>
        <v>4492260</v>
      </c>
      <c r="U125" s="44">
        <f t="shared" si="11"/>
        <v>1848510</v>
      </c>
      <c r="V125" s="44"/>
    </row>
    <row r="126" spans="1:22" ht="14.5" x14ac:dyDescent="0.35">
      <c r="A126" s="47" t="str">
        <f t="shared" si="7"/>
        <v>SBY-SM-E1032-2019</v>
      </c>
      <c r="B126" s="26">
        <v>43665</v>
      </c>
      <c r="C126" s="42">
        <v>2019</v>
      </c>
      <c r="D126" s="27" t="s">
        <v>675</v>
      </c>
      <c r="E126" s="27" t="s">
        <v>41</v>
      </c>
      <c r="F126" s="42" t="str" cm="1">
        <f t="array" ref="F126">_xlfn.IFS(E126="Bandung","BDG",E126="Surabaya","SBY",E126="Jakarta","JKT")</f>
        <v>SBY</v>
      </c>
      <c r="G126" s="27" t="s">
        <v>53</v>
      </c>
      <c r="H126" s="27" t="s">
        <v>339</v>
      </c>
      <c r="I126" s="27" t="s">
        <v>73</v>
      </c>
      <c r="J126" s="26" t="s">
        <v>1737</v>
      </c>
      <c r="K126" s="26">
        <v>43671</v>
      </c>
      <c r="L126" s="27">
        <f t="shared" si="8"/>
        <v>6</v>
      </c>
      <c r="M126" s="45">
        <v>61499.999999999993</v>
      </c>
      <c r="N126" s="45">
        <v>139650</v>
      </c>
      <c r="O126" s="27">
        <v>109</v>
      </c>
      <c r="P126" s="46">
        <f t="shared" si="9"/>
        <v>0.55961331901181521</v>
      </c>
      <c r="Q126" s="27">
        <v>35</v>
      </c>
      <c r="R126" s="44">
        <f t="shared" si="6"/>
        <v>4887750</v>
      </c>
      <c r="S126" s="29">
        <v>0.05</v>
      </c>
      <c r="T126" s="44">
        <f t="shared" si="10"/>
        <v>4643362.5</v>
      </c>
      <c r="U126" s="44">
        <f t="shared" si="11"/>
        <v>2490862.5000000005</v>
      </c>
      <c r="V126" s="44"/>
    </row>
    <row r="127" spans="1:22" ht="14.5" x14ac:dyDescent="0.35">
      <c r="A127" s="47" t="str">
        <f t="shared" si="7"/>
        <v>SBY-SA-E1037-2019</v>
      </c>
      <c r="B127" s="26">
        <v>43790</v>
      </c>
      <c r="C127" s="42">
        <v>2019</v>
      </c>
      <c r="D127" s="27" t="s">
        <v>705</v>
      </c>
      <c r="E127" s="27" t="s">
        <v>41</v>
      </c>
      <c r="F127" s="42" t="str" cm="1">
        <f t="array" ref="F127">_xlfn.IFS(E127="Bandung","BDG",E127="Surabaya","SBY",E127="Jakarta","JKT")</f>
        <v>SBY</v>
      </c>
      <c r="G127" s="27" t="s">
        <v>83</v>
      </c>
      <c r="H127" s="27" t="s">
        <v>256</v>
      </c>
      <c r="I127" s="27" t="s">
        <v>35</v>
      </c>
      <c r="J127" s="26">
        <v>43791</v>
      </c>
      <c r="K127" s="26">
        <v>43791</v>
      </c>
      <c r="L127" s="27">
        <f t="shared" si="8"/>
        <v>1</v>
      </c>
      <c r="M127" s="45">
        <v>36750</v>
      </c>
      <c r="N127" s="45">
        <v>58350</v>
      </c>
      <c r="O127" s="27">
        <v>211</v>
      </c>
      <c r="P127" s="46">
        <f t="shared" si="9"/>
        <v>0.37017994858611825</v>
      </c>
      <c r="Q127" s="27">
        <v>18</v>
      </c>
      <c r="R127" s="44">
        <f t="shared" si="6"/>
        <v>1050300</v>
      </c>
      <c r="S127" s="29">
        <v>0.04</v>
      </c>
      <c r="T127" s="44">
        <f t="shared" si="10"/>
        <v>1008288</v>
      </c>
      <c r="U127" s="44">
        <f t="shared" si="11"/>
        <v>346788</v>
      </c>
      <c r="V127" s="44"/>
    </row>
    <row r="128" spans="1:22" ht="14.5" x14ac:dyDescent="0.35">
      <c r="A128" s="47" t="str">
        <f t="shared" si="7"/>
        <v>SBY-SU-E1037-2016</v>
      </c>
      <c r="B128" s="26">
        <v>42706</v>
      </c>
      <c r="C128" s="42">
        <v>2016</v>
      </c>
      <c r="D128" s="27" t="s">
        <v>246</v>
      </c>
      <c r="E128" s="27" t="s">
        <v>41</v>
      </c>
      <c r="F128" s="42" t="str" cm="1">
        <f t="array" ref="F128">_xlfn.IFS(E128="Bandung","BDG",E128="Surabaya","SBY",E128="Jakarta","JKT")</f>
        <v>SBY</v>
      </c>
      <c r="G128" s="27" t="s">
        <v>83</v>
      </c>
      <c r="H128" s="27" t="s">
        <v>247</v>
      </c>
      <c r="I128" s="27" t="s">
        <v>236</v>
      </c>
      <c r="J128" s="26">
        <v>42708</v>
      </c>
      <c r="K128" s="26">
        <v>42472</v>
      </c>
      <c r="L128" s="27">
        <f t="shared" si="8"/>
        <v>-234</v>
      </c>
      <c r="M128" s="45">
        <v>842400</v>
      </c>
      <c r="N128" s="45">
        <v>2054699.9999999998</v>
      </c>
      <c r="O128" s="27">
        <v>194</v>
      </c>
      <c r="P128" s="46">
        <f t="shared" si="9"/>
        <v>0.59001314060446775</v>
      </c>
      <c r="Q128" s="27">
        <v>41</v>
      </c>
      <c r="R128" s="44">
        <f t="shared" si="6"/>
        <v>84242699.999999985</v>
      </c>
      <c r="S128" s="29">
        <v>0.04</v>
      </c>
      <c r="T128" s="44">
        <f t="shared" si="10"/>
        <v>80872991.999999985</v>
      </c>
      <c r="U128" s="44">
        <f t="shared" si="11"/>
        <v>46334591.999999985</v>
      </c>
      <c r="V128" s="44"/>
    </row>
    <row r="129" spans="1:22" ht="14.5" x14ac:dyDescent="0.35">
      <c r="A129" s="47" t="str">
        <f t="shared" si="7"/>
        <v>SBY-SU-E1037-2017</v>
      </c>
      <c r="B129" s="26">
        <v>42972</v>
      </c>
      <c r="C129" s="42">
        <v>2017</v>
      </c>
      <c r="D129" s="27" t="s">
        <v>246</v>
      </c>
      <c r="E129" s="27" t="s">
        <v>41</v>
      </c>
      <c r="F129" s="42" t="str" cm="1">
        <f t="array" ref="F129">_xlfn.IFS(E129="Bandung","BDG",E129="Surabaya","SBY",E129="Jakarta","JKT")</f>
        <v>SBY</v>
      </c>
      <c r="G129" s="27" t="s">
        <v>83</v>
      </c>
      <c r="H129" s="27" t="s">
        <v>418</v>
      </c>
      <c r="I129" s="27" t="s">
        <v>35</v>
      </c>
      <c r="J129" s="26" t="s">
        <v>1625</v>
      </c>
      <c r="K129" s="26">
        <v>42973</v>
      </c>
      <c r="L129" s="27">
        <f t="shared" si="8"/>
        <v>1</v>
      </c>
      <c r="M129" s="45">
        <v>41400</v>
      </c>
      <c r="N129" s="45">
        <v>65700</v>
      </c>
      <c r="O129" s="27">
        <v>71</v>
      </c>
      <c r="P129" s="46">
        <f t="shared" si="9"/>
        <v>0.36986301369863012</v>
      </c>
      <c r="Q129" s="27">
        <v>29</v>
      </c>
      <c r="R129" s="44">
        <f t="shared" si="6"/>
        <v>1905300</v>
      </c>
      <c r="S129" s="29">
        <v>0.08</v>
      </c>
      <c r="T129" s="44">
        <f t="shared" si="10"/>
        <v>1752876</v>
      </c>
      <c r="U129" s="44">
        <f t="shared" si="11"/>
        <v>552276</v>
      </c>
      <c r="V129" s="44"/>
    </row>
    <row r="130" spans="1:22" ht="14.5" x14ac:dyDescent="0.35">
      <c r="A130" s="47" t="str">
        <f t="shared" si="7"/>
        <v>BDG-SM-E1032-2017</v>
      </c>
      <c r="B130" s="26">
        <v>43038</v>
      </c>
      <c r="C130" s="42">
        <v>2017</v>
      </c>
      <c r="D130" s="27" t="s">
        <v>454</v>
      </c>
      <c r="E130" s="27" t="s">
        <v>136</v>
      </c>
      <c r="F130" s="42" t="str" cm="1">
        <f t="array" ref="F130">_xlfn.IFS(E130="Bandung","BDG",E130="Surabaya","SBY",E130="Jakarta","JKT")</f>
        <v>BDG</v>
      </c>
      <c r="G130" s="27" t="s">
        <v>53</v>
      </c>
      <c r="H130" s="27" t="s">
        <v>456</v>
      </c>
      <c r="I130" s="27" t="s">
        <v>39</v>
      </c>
      <c r="J130" s="26">
        <v>42897</v>
      </c>
      <c r="K130" s="26">
        <v>43045</v>
      </c>
      <c r="L130" s="27">
        <f t="shared" si="8"/>
        <v>7</v>
      </c>
      <c r="M130" s="45">
        <v>28500</v>
      </c>
      <c r="N130" s="45">
        <v>49200</v>
      </c>
      <c r="O130" s="27">
        <v>41</v>
      </c>
      <c r="P130" s="46">
        <f t="shared" si="9"/>
        <v>0.42073170731707316</v>
      </c>
      <c r="Q130" s="27">
        <v>41</v>
      </c>
      <c r="R130" s="44">
        <f t="shared" si="6"/>
        <v>2017200</v>
      </c>
      <c r="S130" s="29">
        <v>0.05</v>
      </c>
      <c r="T130" s="44">
        <f t="shared" si="10"/>
        <v>1916340</v>
      </c>
      <c r="U130" s="44">
        <f t="shared" si="11"/>
        <v>747840</v>
      </c>
      <c r="V130" s="44"/>
    </row>
    <row r="131" spans="1:22" ht="14.5" x14ac:dyDescent="0.35">
      <c r="A131" s="47" t="str">
        <f t="shared" si="7"/>
        <v>BDG-SM-E1032-2017</v>
      </c>
      <c r="B131" s="26">
        <v>43038</v>
      </c>
      <c r="C131" s="42">
        <v>2017</v>
      </c>
      <c r="D131" s="27" t="s">
        <v>454</v>
      </c>
      <c r="E131" s="27" t="s">
        <v>136</v>
      </c>
      <c r="F131" s="42" t="str" cm="1">
        <f t="array" ref="F131">_xlfn.IFS(E131="Bandung","BDG",E131="Surabaya","SBY",E131="Jakarta","JKT")</f>
        <v>BDG</v>
      </c>
      <c r="G131" s="27" t="s">
        <v>53</v>
      </c>
      <c r="H131" s="27" t="s">
        <v>455</v>
      </c>
      <c r="I131" s="27" t="s">
        <v>39</v>
      </c>
      <c r="J131" s="26">
        <v>43040</v>
      </c>
      <c r="K131" s="26">
        <v>42746</v>
      </c>
      <c r="L131" s="27">
        <f t="shared" si="8"/>
        <v>-292</v>
      </c>
      <c r="M131" s="45">
        <v>13800</v>
      </c>
      <c r="N131" s="45">
        <v>27150</v>
      </c>
      <c r="O131" s="27">
        <v>126</v>
      </c>
      <c r="P131" s="46">
        <f t="shared" si="9"/>
        <v>0.49171270718232046</v>
      </c>
      <c r="Q131" s="27">
        <v>8</v>
      </c>
      <c r="R131" s="44">
        <f t="shared" si="6"/>
        <v>217200</v>
      </c>
      <c r="S131" s="29">
        <v>0.05</v>
      </c>
      <c r="T131" s="44">
        <f t="shared" si="10"/>
        <v>206340</v>
      </c>
      <c r="U131" s="44">
        <f t="shared" si="11"/>
        <v>95940</v>
      </c>
      <c r="V131" s="44"/>
    </row>
    <row r="132" spans="1:22" ht="14.5" x14ac:dyDescent="0.35">
      <c r="A132" s="47" t="str">
        <f t="shared" si="7"/>
        <v>BDG-SM-E1032-2018</v>
      </c>
      <c r="B132" s="26">
        <v>43159</v>
      </c>
      <c r="C132" s="42">
        <v>2018</v>
      </c>
      <c r="D132" s="27" t="s">
        <v>454</v>
      </c>
      <c r="E132" s="27" t="s">
        <v>136</v>
      </c>
      <c r="F132" s="42" t="str" cm="1">
        <f t="array" ref="F132">_xlfn.IFS(E132="Bandung","BDG",E132="Surabaya","SBY",E132="Jakarta","JKT")</f>
        <v>BDG</v>
      </c>
      <c r="G132" s="27" t="s">
        <v>53</v>
      </c>
      <c r="H132" s="27" t="s">
        <v>287</v>
      </c>
      <c r="I132" s="27" t="s">
        <v>35</v>
      </c>
      <c r="J132" s="26">
        <v>43161</v>
      </c>
      <c r="K132" s="26">
        <v>43134</v>
      </c>
      <c r="L132" s="27">
        <f t="shared" si="8"/>
        <v>-25</v>
      </c>
      <c r="M132" s="45">
        <v>936000</v>
      </c>
      <c r="N132" s="45">
        <v>2339850</v>
      </c>
      <c r="O132" s="27">
        <v>121</v>
      </c>
      <c r="P132" s="46">
        <f t="shared" si="9"/>
        <v>0.59997435733059812</v>
      </c>
      <c r="Q132" s="27">
        <v>6</v>
      </c>
      <c r="R132" s="44">
        <f t="shared" ref="R132:R195" si="12">N132*Q132</f>
        <v>14039100</v>
      </c>
      <c r="S132" s="29">
        <v>0.02</v>
      </c>
      <c r="T132" s="44">
        <f t="shared" si="10"/>
        <v>13758318</v>
      </c>
      <c r="U132" s="44">
        <f t="shared" si="11"/>
        <v>8142318</v>
      </c>
      <c r="V132" s="44"/>
    </row>
    <row r="133" spans="1:22" ht="14.5" x14ac:dyDescent="0.35">
      <c r="A133" s="47" t="str">
        <f t="shared" ref="A133:A196" si="13">_xlfn.CONCAT(F133,"-",LEFT(D133,1),MID(D133,FIND(" ",D133)+1,1),"-",G133,"-",C133)</f>
        <v>BDG-SM-E1032-2018</v>
      </c>
      <c r="B133" s="26">
        <v>43236</v>
      </c>
      <c r="C133" s="42">
        <v>2018</v>
      </c>
      <c r="D133" s="27" t="s">
        <v>454</v>
      </c>
      <c r="E133" s="27" t="s">
        <v>136</v>
      </c>
      <c r="F133" s="42" t="str" cm="1">
        <f t="array" ref="F133">_xlfn.IFS(E133="Bandung","BDG",E133="Surabaya","SBY",E133="Jakarta","JKT")</f>
        <v>BDG</v>
      </c>
      <c r="G133" s="27" t="s">
        <v>53</v>
      </c>
      <c r="H133" s="27" t="s">
        <v>234</v>
      </c>
      <c r="I133" s="27" t="s">
        <v>35</v>
      </c>
      <c r="J133" s="26">
        <v>43238</v>
      </c>
      <c r="K133" s="26">
        <v>43238</v>
      </c>
      <c r="L133" s="27">
        <f t="shared" ref="L133:L196" si="14">K133-B133</f>
        <v>2</v>
      </c>
      <c r="M133" s="45">
        <v>275700</v>
      </c>
      <c r="N133" s="45">
        <v>437550</v>
      </c>
      <c r="O133" s="27">
        <v>60</v>
      </c>
      <c r="P133" s="46">
        <f t="shared" ref="P133:P196" si="15">(N133-M133)/N133</f>
        <v>0.36990058279053822</v>
      </c>
      <c r="Q133" s="27">
        <v>43</v>
      </c>
      <c r="R133" s="44">
        <f t="shared" si="12"/>
        <v>18814650</v>
      </c>
      <c r="S133" s="29">
        <v>0.05</v>
      </c>
      <c r="T133" s="44">
        <f t="shared" ref="T133:T196" si="16">R133*(1-S133)</f>
        <v>17873917.5</v>
      </c>
      <c r="U133" s="44">
        <f t="shared" ref="U133:U196" si="17">T133-(M133*Q133)</f>
        <v>6018817.5</v>
      </c>
      <c r="V133" s="44"/>
    </row>
    <row r="134" spans="1:22" ht="14.5" x14ac:dyDescent="0.35">
      <c r="A134" s="47" t="str">
        <f t="shared" si="13"/>
        <v>SBY-SH-E1039-2016</v>
      </c>
      <c r="B134" s="26">
        <v>42670</v>
      </c>
      <c r="C134" s="42">
        <v>2016</v>
      </c>
      <c r="D134" s="27" t="s">
        <v>200</v>
      </c>
      <c r="E134" s="27" t="s">
        <v>41</v>
      </c>
      <c r="F134" s="42" t="str" cm="1">
        <f t="array" ref="F134">_xlfn.IFS(E134="Bandung","BDG",E134="Surabaya","SBY",E134="Jakarta","JKT")</f>
        <v>SBY</v>
      </c>
      <c r="G134" s="27" t="s">
        <v>103</v>
      </c>
      <c r="H134" s="27" t="s">
        <v>201</v>
      </c>
      <c r="I134" s="27" t="s">
        <v>39</v>
      </c>
      <c r="J134" s="26" t="s">
        <v>1575</v>
      </c>
      <c r="K134" s="26">
        <v>42671</v>
      </c>
      <c r="L134" s="27">
        <f t="shared" si="14"/>
        <v>1</v>
      </c>
      <c r="M134" s="45">
        <v>58200</v>
      </c>
      <c r="N134" s="45">
        <v>97050</v>
      </c>
      <c r="O134" s="27">
        <v>65</v>
      </c>
      <c r="P134" s="46">
        <f t="shared" si="15"/>
        <v>0.40030911901081917</v>
      </c>
      <c r="Q134" s="27">
        <v>20</v>
      </c>
      <c r="R134" s="44">
        <f t="shared" si="12"/>
        <v>1941000</v>
      </c>
      <c r="S134" s="29">
        <v>0.02</v>
      </c>
      <c r="T134" s="44">
        <f t="shared" si="16"/>
        <v>1902180</v>
      </c>
      <c r="U134" s="44">
        <f t="shared" si="17"/>
        <v>738180</v>
      </c>
      <c r="V134" s="44"/>
    </row>
    <row r="135" spans="1:22" ht="14.5" x14ac:dyDescent="0.35">
      <c r="A135" s="47" t="str">
        <f t="shared" si="13"/>
        <v>SBY-SH-E1039-2016</v>
      </c>
      <c r="B135" s="26">
        <v>42670</v>
      </c>
      <c r="C135" s="42">
        <v>2016</v>
      </c>
      <c r="D135" s="27" t="s">
        <v>200</v>
      </c>
      <c r="E135" s="27" t="s">
        <v>41</v>
      </c>
      <c r="F135" s="42" t="str" cm="1">
        <f t="array" ref="F135">_xlfn.IFS(E135="Bandung","BDG",E135="Surabaya","SBY",E135="Jakarta","JKT")</f>
        <v>SBY</v>
      </c>
      <c r="G135" s="27" t="s">
        <v>103</v>
      </c>
      <c r="H135" s="27" t="s">
        <v>202</v>
      </c>
      <c r="I135" s="27" t="s">
        <v>39</v>
      </c>
      <c r="J135" s="26">
        <v>42672</v>
      </c>
      <c r="K135" s="26">
        <v>42672</v>
      </c>
      <c r="L135" s="27">
        <f t="shared" si="14"/>
        <v>2</v>
      </c>
      <c r="M135" s="45">
        <v>19650</v>
      </c>
      <c r="N135" s="45">
        <v>42600</v>
      </c>
      <c r="O135" s="27">
        <v>195</v>
      </c>
      <c r="P135" s="46">
        <f t="shared" si="15"/>
        <v>0.53873239436619713</v>
      </c>
      <c r="Q135" s="27">
        <v>39</v>
      </c>
      <c r="R135" s="44">
        <f t="shared" si="12"/>
        <v>1661400</v>
      </c>
      <c r="S135" s="29">
        <v>7.0000000000000007E-2</v>
      </c>
      <c r="T135" s="44">
        <f t="shared" si="16"/>
        <v>1545102</v>
      </c>
      <c r="U135" s="44">
        <f t="shared" si="17"/>
        <v>778752</v>
      </c>
      <c r="V135" s="44"/>
    </row>
    <row r="136" spans="1:22" ht="14.5" x14ac:dyDescent="0.35">
      <c r="A136" s="47" t="str">
        <f t="shared" si="13"/>
        <v>SBY-SH-E1039-2017</v>
      </c>
      <c r="B136" s="26">
        <v>42837</v>
      </c>
      <c r="C136" s="42">
        <v>2017</v>
      </c>
      <c r="D136" s="27" t="s">
        <v>200</v>
      </c>
      <c r="E136" s="27" t="s">
        <v>41</v>
      </c>
      <c r="F136" s="42" t="str" cm="1">
        <f t="array" ref="F136">_xlfn.IFS(E136="Bandung","BDG",E136="Surabaya","SBY",E136="Jakarta","JKT")</f>
        <v>SBY</v>
      </c>
      <c r="G136" s="27" t="s">
        <v>103</v>
      </c>
      <c r="H136" s="27" t="s">
        <v>38</v>
      </c>
      <c r="I136" s="27" t="s">
        <v>39</v>
      </c>
      <c r="J136" s="26" t="s">
        <v>1602</v>
      </c>
      <c r="K136" s="26">
        <v>42838</v>
      </c>
      <c r="L136" s="27">
        <f t="shared" si="14"/>
        <v>1</v>
      </c>
      <c r="M136" s="45">
        <v>35850</v>
      </c>
      <c r="N136" s="45">
        <v>63900</v>
      </c>
      <c r="O136" s="27">
        <v>149</v>
      </c>
      <c r="P136" s="46">
        <f t="shared" si="15"/>
        <v>0.43896713615023475</v>
      </c>
      <c r="Q136" s="27">
        <v>26</v>
      </c>
      <c r="R136" s="44">
        <f t="shared" si="12"/>
        <v>1661400</v>
      </c>
      <c r="S136" s="29">
        <v>0.1</v>
      </c>
      <c r="T136" s="44">
        <f t="shared" si="16"/>
        <v>1495260</v>
      </c>
      <c r="U136" s="44">
        <f t="shared" si="17"/>
        <v>563160</v>
      </c>
      <c r="V136" s="44"/>
    </row>
    <row r="137" spans="1:22" ht="14.5" x14ac:dyDescent="0.35">
      <c r="A137" s="47" t="str">
        <f t="shared" si="13"/>
        <v>SBY-SH-E1039-2018</v>
      </c>
      <c r="B137" s="26">
        <v>43227</v>
      </c>
      <c r="C137" s="42">
        <v>2018</v>
      </c>
      <c r="D137" s="27" t="s">
        <v>200</v>
      </c>
      <c r="E137" s="27" t="s">
        <v>41</v>
      </c>
      <c r="F137" s="42" t="str" cm="1">
        <f t="array" ref="F137">_xlfn.IFS(E137="Bandung","BDG",E137="Surabaya","SBY",E137="Jakarta","JKT")</f>
        <v>SBY</v>
      </c>
      <c r="G137" s="27" t="s">
        <v>103</v>
      </c>
      <c r="H137" s="27" t="s">
        <v>43</v>
      </c>
      <c r="I137" s="27" t="s">
        <v>39</v>
      </c>
      <c r="J137" s="26">
        <v>43348</v>
      </c>
      <c r="K137" s="26">
        <v>43229</v>
      </c>
      <c r="L137" s="27">
        <f t="shared" si="14"/>
        <v>2</v>
      </c>
      <c r="M137" s="45">
        <v>36150</v>
      </c>
      <c r="N137" s="45">
        <v>55650</v>
      </c>
      <c r="O137" s="27">
        <v>124</v>
      </c>
      <c r="P137" s="46">
        <f t="shared" si="15"/>
        <v>0.35040431266846361</v>
      </c>
      <c r="Q137" s="27">
        <v>14</v>
      </c>
      <c r="R137" s="44">
        <f t="shared" si="12"/>
        <v>779100</v>
      </c>
      <c r="S137" s="29">
        <v>0.09</v>
      </c>
      <c r="T137" s="44">
        <f t="shared" si="16"/>
        <v>708981</v>
      </c>
      <c r="U137" s="44">
        <f t="shared" si="17"/>
        <v>202881</v>
      </c>
      <c r="V137" s="44"/>
    </row>
    <row r="138" spans="1:22" ht="14.5" x14ac:dyDescent="0.35">
      <c r="A138" s="47" t="str">
        <f t="shared" si="13"/>
        <v>SBY-SH-E1039-2019</v>
      </c>
      <c r="B138" s="26">
        <v>43721</v>
      </c>
      <c r="C138" s="42">
        <v>2019</v>
      </c>
      <c r="D138" s="27" t="s">
        <v>200</v>
      </c>
      <c r="E138" s="27" t="s">
        <v>41</v>
      </c>
      <c r="F138" s="42" t="str" cm="1">
        <f t="array" ref="F138">_xlfn.IFS(E138="Bandung","BDG",E138="Surabaya","SBY",E138="Jakarta","JKT")</f>
        <v>SBY</v>
      </c>
      <c r="G138" s="27" t="s">
        <v>103</v>
      </c>
      <c r="H138" s="27" t="s">
        <v>89</v>
      </c>
      <c r="I138" s="27" t="s">
        <v>73</v>
      </c>
      <c r="J138" s="26" t="s">
        <v>1744</v>
      </c>
      <c r="K138" s="26">
        <v>43723</v>
      </c>
      <c r="L138" s="27">
        <f t="shared" si="14"/>
        <v>2</v>
      </c>
      <c r="M138" s="45">
        <v>14100</v>
      </c>
      <c r="N138" s="45">
        <v>31200</v>
      </c>
      <c r="O138" s="27">
        <v>242</v>
      </c>
      <c r="P138" s="46">
        <f t="shared" si="15"/>
        <v>0.54807692307692313</v>
      </c>
      <c r="Q138" s="27">
        <v>49</v>
      </c>
      <c r="R138" s="44">
        <f t="shared" si="12"/>
        <v>1528800</v>
      </c>
      <c r="S138" s="29">
        <v>0.08</v>
      </c>
      <c r="T138" s="44">
        <f t="shared" si="16"/>
        <v>1406496</v>
      </c>
      <c r="U138" s="44">
        <f t="shared" si="17"/>
        <v>715596</v>
      </c>
      <c r="V138" s="44"/>
    </row>
    <row r="139" spans="1:22" ht="14.5" x14ac:dyDescent="0.35">
      <c r="A139" s="47" t="str">
        <f t="shared" si="13"/>
        <v>JKT-SS-E1029-2018</v>
      </c>
      <c r="B139" s="26">
        <v>43382</v>
      </c>
      <c r="C139" s="42">
        <v>2018</v>
      </c>
      <c r="D139" s="27" t="s">
        <v>599</v>
      </c>
      <c r="E139" s="27" t="s">
        <v>32</v>
      </c>
      <c r="F139" s="42" t="str" cm="1">
        <f t="array" ref="F139">_xlfn.IFS(E139="Bandung","BDG",E139="Surabaya","SBY",E139="Jakarta","JKT")</f>
        <v>JKT</v>
      </c>
      <c r="G139" s="27" t="s">
        <v>37</v>
      </c>
      <c r="H139" s="27" t="s">
        <v>227</v>
      </c>
      <c r="I139" s="27" t="s">
        <v>39</v>
      </c>
      <c r="J139" s="26">
        <v>43382</v>
      </c>
      <c r="K139" s="26">
        <v>43353</v>
      </c>
      <c r="L139" s="27">
        <f t="shared" si="14"/>
        <v>-29</v>
      </c>
      <c r="M139" s="45">
        <v>22950</v>
      </c>
      <c r="N139" s="45">
        <v>41700</v>
      </c>
      <c r="O139" s="27">
        <v>325</v>
      </c>
      <c r="P139" s="46">
        <f t="shared" si="15"/>
        <v>0.44964028776978415</v>
      </c>
      <c r="Q139" s="27">
        <v>44</v>
      </c>
      <c r="R139" s="44">
        <f t="shared" si="12"/>
        <v>1834800</v>
      </c>
      <c r="S139" s="29">
        <v>7.0000000000000007E-2</v>
      </c>
      <c r="T139" s="44">
        <f t="shared" si="16"/>
        <v>1706364</v>
      </c>
      <c r="U139" s="44">
        <f t="shared" si="17"/>
        <v>696564</v>
      </c>
      <c r="V139" s="44"/>
    </row>
    <row r="140" spans="1:22" ht="14.5" x14ac:dyDescent="0.35">
      <c r="A140" s="47" t="str">
        <f t="shared" si="13"/>
        <v>JKT-SS-E1029-2017</v>
      </c>
      <c r="B140" s="26">
        <v>42795</v>
      </c>
      <c r="C140" s="42">
        <v>2017</v>
      </c>
      <c r="D140" s="27" t="s">
        <v>313</v>
      </c>
      <c r="E140" s="27" t="s">
        <v>32</v>
      </c>
      <c r="F140" s="42" t="str" cm="1">
        <f t="array" ref="F140">_xlfn.IFS(E140="Bandung","BDG",E140="Surabaya","SBY",E140="Jakarta","JKT")</f>
        <v>JKT</v>
      </c>
      <c r="G140" s="27" t="s">
        <v>37</v>
      </c>
      <c r="H140" s="27" t="s">
        <v>314</v>
      </c>
      <c r="I140" s="27" t="s">
        <v>73</v>
      </c>
      <c r="J140" s="26">
        <v>42769</v>
      </c>
      <c r="K140" s="26">
        <v>42796</v>
      </c>
      <c r="L140" s="27">
        <f t="shared" si="14"/>
        <v>1</v>
      </c>
      <c r="M140" s="45">
        <v>52650</v>
      </c>
      <c r="N140" s="45">
        <v>128550</v>
      </c>
      <c r="O140" s="27">
        <v>95</v>
      </c>
      <c r="P140" s="46">
        <f t="shared" si="15"/>
        <v>0.59043173862310383</v>
      </c>
      <c r="Q140" s="27">
        <v>24</v>
      </c>
      <c r="R140" s="44">
        <f t="shared" si="12"/>
        <v>3085200</v>
      </c>
      <c r="S140" s="29">
        <v>0.06</v>
      </c>
      <c r="T140" s="44">
        <f t="shared" si="16"/>
        <v>2900088</v>
      </c>
      <c r="U140" s="44">
        <f t="shared" si="17"/>
        <v>1636488</v>
      </c>
      <c r="V140" s="44"/>
    </row>
    <row r="141" spans="1:22" ht="14.5" x14ac:dyDescent="0.35">
      <c r="A141" s="47" t="str">
        <f t="shared" si="13"/>
        <v>JKT-SS-E1029-2018</v>
      </c>
      <c r="B141" s="26">
        <v>43344</v>
      </c>
      <c r="C141" s="42">
        <v>2018</v>
      </c>
      <c r="D141" s="27" t="s">
        <v>313</v>
      </c>
      <c r="E141" s="27" t="s">
        <v>32</v>
      </c>
      <c r="F141" s="42" t="str" cm="1">
        <f t="array" ref="F141">_xlfn.IFS(E141="Bandung","BDG",E141="Surabaya","SBY",E141="Jakarta","JKT")</f>
        <v>JKT</v>
      </c>
      <c r="G141" s="27" t="s">
        <v>37</v>
      </c>
      <c r="H141" s="27" t="s">
        <v>158</v>
      </c>
      <c r="I141" s="27" t="s">
        <v>73</v>
      </c>
      <c r="J141" s="26">
        <v>43168</v>
      </c>
      <c r="K141" s="26">
        <v>43346</v>
      </c>
      <c r="L141" s="27">
        <f t="shared" si="14"/>
        <v>2</v>
      </c>
      <c r="M141" s="45">
        <v>302700</v>
      </c>
      <c r="N141" s="45">
        <v>531150</v>
      </c>
      <c r="O141" s="27">
        <v>176</v>
      </c>
      <c r="P141" s="46">
        <f t="shared" si="15"/>
        <v>0.43010449025698955</v>
      </c>
      <c r="Q141" s="27">
        <v>49</v>
      </c>
      <c r="R141" s="44">
        <f t="shared" si="12"/>
        <v>26026350</v>
      </c>
      <c r="S141" s="29">
        <v>0.02</v>
      </c>
      <c r="T141" s="44">
        <f t="shared" si="16"/>
        <v>25505823</v>
      </c>
      <c r="U141" s="44">
        <f t="shared" si="17"/>
        <v>10673523</v>
      </c>
      <c r="V141" s="44"/>
    </row>
    <row r="142" spans="1:22" ht="14.5" x14ac:dyDescent="0.35">
      <c r="A142" s="47" t="str">
        <f t="shared" si="13"/>
        <v>BDG-SN-E1036-2018</v>
      </c>
      <c r="B142" s="26">
        <v>43323</v>
      </c>
      <c r="C142" s="42">
        <v>2018</v>
      </c>
      <c r="D142" s="27" t="s">
        <v>579</v>
      </c>
      <c r="E142" s="27" t="s">
        <v>136</v>
      </c>
      <c r="F142" s="42" t="str" cm="1">
        <f t="array" ref="F142">_xlfn.IFS(E142="Bandung","BDG",E142="Surabaya","SBY",E142="Jakarta","JKT")</f>
        <v>BDG</v>
      </c>
      <c r="G142" s="27" t="s">
        <v>78</v>
      </c>
      <c r="H142" s="27" t="s">
        <v>440</v>
      </c>
      <c r="I142" s="27" t="s">
        <v>35</v>
      </c>
      <c r="J142" s="26" t="s">
        <v>1683</v>
      </c>
      <c r="K142" s="26">
        <v>43328</v>
      </c>
      <c r="L142" s="27">
        <f t="shared" si="14"/>
        <v>5</v>
      </c>
      <c r="M142" s="45">
        <v>27600</v>
      </c>
      <c r="N142" s="45">
        <v>43200</v>
      </c>
      <c r="O142" s="27">
        <v>202</v>
      </c>
      <c r="P142" s="46">
        <f t="shared" si="15"/>
        <v>0.3611111111111111</v>
      </c>
      <c r="Q142" s="27">
        <v>29</v>
      </c>
      <c r="R142" s="44">
        <f t="shared" si="12"/>
        <v>1252800</v>
      </c>
      <c r="S142" s="29">
        <v>0.03</v>
      </c>
      <c r="T142" s="44">
        <f t="shared" si="16"/>
        <v>1215216</v>
      </c>
      <c r="U142" s="44">
        <f t="shared" si="17"/>
        <v>414816</v>
      </c>
      <c r="V142" s="44"/>
    </row>
    <row r="143" spans="1:22" ht="14.5" x14ac:dyDescent="0.35">
      <c r="A143" s="47" t="str">
        <f t="shared" si="13"/>
        <v>BDG-SN-E1036-2019</v>
      </c>
      <c r="B143" s="26">
        <v>43518</v>
      </c>
      <c r="C143" s="42">
        <v>2019</v>
      </c>
      <c r="D143" s="27" t="s">
        <v>579</v>
      </c>
      <c r="E143" s="27" t="s">
        <v>136</v>
      </c>
      <c r="F143" s="42" t="str" cm="1">
        <f t="array" ref="F143">_xlfn.IFS(E143="Bandung","BDG",E143="Surabaya","SBY",E143="Jakarta","JKT")</f>
        <v>BDG</v>
      </c>
      <c r="G143" s="27" t="s">
        <v>78</v>
      </c>
      <c r="H143" s="27" t="s">
        <v>473</v>
      </c>
      <c r="I143" s="27" t="s">
        <v>35</v>
      </c>
      <c r="J143" s="26">
        <v>43518</v>
      </c>
      <c r="K143" s="26">
        <v>43518</v>
      </c>
      <c r="L143" s="27">
        <f t="shared" si="14"/>
        <v>0</v>
      </c>
      <c r="M143" s="45">
        <v>60450.000000000007</v>
      </c>
      <c r="N143" s="45">
        <v>140700</v>
      </c>
      <c r="O143" s="27">
        <v>118</v>
      </c>
      <c r="P143" s="46">
        <f t="shared" si="15"/>
        <v>0.57036247334754797</v>
      </c>
      <c r="Q143" s="27">
        <v>24</v>
      </c>
      <c r="R143" s="44">
        <f t="shared" si="12"/>
        <v>3376800</v>
      </c>
      <c r="S143" s="29">
        <v>0.05</v>
      </c>
      <c r="T143" s="44">
        <f t="shared" si="16"/>
        <v>3207960</v>
      </c>
      <c r="U143" s="44">
        <f t="shared" si="17"/>
        <v>1757159.9999999998</v>
      </c>
      <c r="V143" s="44"/>
    </row>
    <row r="144" spans="1:22" ht="14.5" x14ac:dyDescent="0.35">
      <c r="A144" s="47" t="str">
        <f t="shared" si="13"/>
        <v>BDG-SN-E1036-2019</v>
      </c>
      <c r="B144" s="26">
        <v>43732</v>
      </c>
      <c r="C144" s="42">
        <v>2019</v>
      </c>
      <c r="D144" s="27" t="s">
        <v>579</v>
      </c>
      <c r="E144" s="27" t="s">
        <v>136</v>
      </c>
      <c r="F144" s="42" t="str" cm="1">
        <f t="array" ref="F144">_xlfn.IFS(E144="Bandung","BDG",E144="Surabaya","SBY",E144="Jakarta","JKT")</f>
        <v>BDG</v>
      </c>
      <c r="G144" s="27" t="s">
        <v>78</v>
      </c>
      <c r="H144" s="27" t="s">
        <v>202</v>
      </c>
      <c r="I144" s="27" t="s">
        <v>39</v>
      </c>
      <c r="J144" s="26" t="s">
        <v>1747</v>
      </c>
      <c r="K144" s="26">
        <v>43733</v>
      </c>
      <c r="L144" s="27">
        <f t="shared" si="14"/>
        <v>1</v>
      </c>
      <c r="M144" s="45">
        <v>19650</v>
      </c>
      <c r="N144" s="45">
        <v>42600</v>
      </c>
      <c r="O144" s="27">
        <v>156</v>
      </c>
      <c r="P144" s="46">
        <f t="shared" si="15"/>
        <v>0.53873239436619713</v>
      </c>
      <c r="Q144" s="27">
        <v>9</v>
      </c>
      <c r="R144" s="44">
        <f t="shared" si="12"/>
        <v>383400</v>
      </c>
      <c r="S144" s="29">
        <v>0.08</v>
      </c>
      <c r="T144" s="44">
        <f t="shared" si="16"/>
        <v>352728</v>
      </c>
      <c r="U144" s="44">
        <f t="shared" si="17"/>
        <v>175878</v>
      </c>
      <c r="V144" s="44"/>
    </row>
    <row r="145" spans="1:22" ht="14.5" x14ac:dyDescent="0.35">
      <c r="A145" s="47" t="str">
        <f t="shared" si="13"/>
        <v>BDG-SN-E1036-2020</v>
      </c>
      <c r="B145" s="26">
        <v>43862</v>
      </c>
      <c r="C145" s="42">
        <v>2020</v>
      </c>
      <c r="D145" s="27" t="s">
        <v>579</v>
      </c>
      <c r="E145" s="27" t="s">
        <v>136</v>
      </c>
      <c r="F145" s="42" t="str" cm="1">
        <f t="array" ref="F145">_xlfn.IFS(E145="Bandung","BDG",E145="Surabaya","SBY",E145="Jakarta","JKT")</f>
        <v>BDG</v>
      </c>
      <c r="G145" s="27" t="s">
        <v>78</v>
      </c>
      <c r="H145" s="27" t="s">
        <v>251</v>
      </c>
      <c r="I145" s="27" t="s">
        <v>73</v>
      </c>
      <c r="J145" s="26">
        <v>43892</v>
      </c>
      <c r="K145" s="26">
        <v>43864</v>
      </c>
      <c r="L145" s="27">
        <f t="shared" si="14"/>
        <v>2</v>
      </c>
      <c r="M145" s="45">
        <v>77850</v>
      </c>
      <c r="N145" s="45">
        <v>194700</v>
      </c>
      <c r="O145" s="27">
        <v>389</v>
      </c>
      <c r="P145" s="46">
        <f t="shared" si="15"/>
        <v>0.60015408320493069</v>
      </c>
      <c r="Q145" s="27">
        <v>49</v>
      </c>
      <c r="R145" s="44">
        <f t="shared" si="12"/>
        <v>9540300</v>
      </c>
      <c r="S145" s="29">
        <v>0.09</v>
      </c>
      <c r="T145" s="44">
        <f t="shared" si="16"/>
        <v>8681673</v>
      </c>
      <c r="U145" s="44">
        <f t="shared" si="17"/>
        <v>4867023</v>
      </c>
      <c r="V145" s="44"/>
    </row>
    <row r="146" spans="1:22" ht="14.5" x14ac:dyDescent="0.35">
      <c r="A146" s="47" t="str">
        <f t="shared" si="13"/>
        <v>SBY-SJ-E1032-2018</v>
      </c>
      <c r="B146" s="26">
        <v>43400</v>
      </c>
      <c r="C146" s="42">
        <v>2018</v>
      </c>
      <c r="D146" s="27" t="s">
        <v>605</v>
      </c>
      <c r="E146" s="27" t="s">
        <v>41</v>
      </c>
      <c r="F146" s="42" t="str" cm="1">
        <f t="array" ref="F146">_xlfn.IFS(E146="Bandung","BDG",E146="Surabaya","SBY",E146="Jakarta","JKT")</f>
        <v>SBY</v>
      </c>
      <c r="G146" s="27" t="s">
        <v>53</v>
      </c>
      <c r="H146" s="27" t="s">
        <v>305</v>
      </c>
      <c r="I146" s="27" t="s">
        <v>39</v>
      </c>
      <c r="J146" s="26" t="s">
        <v>1700</v>
      </c>
      <c r="K146" s="26">
        <v>43404</v>
      </c>
      <c r="L146" s="27">
        <f t="shared" si="14"/>
        <v>4</v>
      </c>
      <c r="M146" s="45">
        <v>78300</v>
      </c>
      <c r="N146" s="45">
        <v>147750</v>
      </c>
      <c r="O146" s="27">
        <v>130</v>
      </c>
      <c r="P146" s="46">
        <f t="shared" si="15"/>
        <v>0.4700507614213198</v>
      </c>
      <c r="Q146" s="27">
        <v>21</v>
      </c>
      <c r="R146" s="44">
        <f t="shared" si="12"/>
        <v>3102750</v>
      </c>
      <c r="S146" s="29">
        <v>0.1</v>
      </c>
      <c r="T146" s="44">
        <f t="shared" si="16"/>
        <v>2792475</v>
      </c>
      <c r="U146" s="44">
        <f t="shared" si="17"/>
        <v>1148175</v>
      </c>
      <c r="V146" s="44"/>
    </row>
    <row r="147" spans="1:22" ht="14.5" x14ac:dyDescent="0.35">
      <c r="A147" s="47" t="str">
        <f t="shared" si="13"/>
        <v>JKT-SW-E1029-2017</v>
      </c>
      <c r="B147" s="26">
        <v>43078</v>
      </c>
      <c r="C147" s="42">
        <v>2017</v>
      </c>
      <c r="D147" s="27" t="s">
        <v>475</v>
      </c>
      <c r="E147" s="27" t="s">
        <v>32</v>
      </c>
      <c r="F147" s="42" t="str" cm="1">
        <f t="array" ref="F147">_xlfn.IFS(E147="Bandung","BDG",E147="Surabaya","SBY",E147="Jakarta","JKT")</f>
        <v>JKT</v>
      </c>
      <c r="G147" s="27" t="s">
        <v>37</v>
      </c>
      <c r="H147" s="27" t="s">
        <v>178</v>
      </c>
      <c r="I147" s="27" t="s">
        <v>39</v>
      </c>
      <c r="J147" s="26">
        <v>43020</v>
      </c>
      <c r="K147" s="26">
        <v>43079</v>
      </c>
      <c r="L147" s="27">
        <f t="shared" si="14"/>
        <v>1</v>
      </c>
      <c r="M147" s="45">
        <v>24000</v>
      </c>
      <c r="N147" s="45">
        <v>39300</v>
      </c>
      <c r="O147" s="27">
        <v>331</v>
      </c>
      <c r="P147" s="46">
        <f t="shared" si="15"/>
        <v>0.38931297709923662</v>
      </c>
      <c r="Q147" s="27">
        <v>45</v>
      </c>
      <c r="R147" s="44">
        <f t="shared" si="12"/>
        <v>1768500</v>
      </c>
      <c r="S147" s="29">
        <v>0.01</v>
      </c>
      <c r="T147" s="44">
        <f t="shared" si="16"/>
        <v>1750815</v>
      </c>
      <c r="U147" s="44">
        <f t="shared" si="17"/>
        <v>670815</v>
      </c>
      <c r="V147" s="44"/>
    </row>
    <row r="148" spans="1:22" ht="14.5" x14ac:dyDescent="0.35">
      <c r="A148" s="47" t="str">
        <f t="shared" si="13"/>
        <v>SBY-SH-E1031-2017</v>
      </c>
      <c r="B148" s="26">
        <v>42854</v>
      </c>
      <c r="C148" s="42">
        <v>2017</v>
      </c>
      <c r="D148" s="27" t="s">
        <v>348</v>
      </c>
      <c r="E148" s="27" t="s">
        <v>41</v>
      </c>
      <c r="F148" s="42" t="str" cm="1">
        <f t="array" ref="F148">_xlfn.IFS(E148="Bandung","BDG",E148="Surabaya","SBY",E148="Jakarta","JKT")</f>
        <v>SBY</v>
      </c>
      <c r="G148" s="27" t="s">
        <v>48</v>
      </c>
      <c r="H148" s="27" t="s">
        <v>349</v>
      </c>
      <c r="I148" s="27" t="s">
        <v>46</v>
      </c>
      <c r="J148" s="26">
        <v>42856</v>
      </c>
      <c r="K148" s="26">
        <v>42740</v>
      </c>
      <c r="L148" s="27">
        <f t="shared" si="14"/>
        <v>-114</v>
      </c>
      <c r="M148" s="45">
        <v>3294150</v>
      </c>
      <c r="N148" s="45">
        <v>8034600</v>
      </c>
      <c r="O148" s="27">
        <v>45</v>
      </c>
      <c r="P148" s="46">
        <f t="shared" si="15"/>
        <v>0.59000448062131283</v>
      </c>
      <c r="Q148" s="27">
        <v>1</v>
      </c>
      <c r="R148" s="44">
        <f t="shared" si="12"/>
        <v>8034600</v>
      </c>
      <c r="S148" s="29">
        <v>0.05</v>
      </c>
      <c r="T148" s="44">
        <f t="shared" si="16"/>
        <v>7632870</v>
      </c>
      <c r="U148" s="44">
        <f t="shared" si="17"/>
        <v>4338720</v>
      </c>
      <c r="V148" s="44"/>
    </row>
    <row r="149" spans="1:22" ht="14.5" x14ac:dyDescent="0.35">
      <c r="A149" s="47" t="str">
        <f t="shared" si="13"/>
        <v>JKT-SS-E1029-2017</v>
      </c>
      <c r="B149" s="26">
        <v>42775</v>
      </c>
      <c r="C149" s="42">
        <v>2017</v>
      </c>
      <c r="D149" s="27" t="s">
        <v>297</v>
      </c>
      <c r="E149" s="27" t="s">
        <v>32</v>
      </c>
      <c r="F149" s="42" t="str" cm="1">
        <f t="array" ref="F149">_xlfn.IFS(E149="Bandung","BDG",E149="Surabaya","SBY",E149="Jakarta","JKT")</f>
        <v>JKT</v>
      </c>
      <c r="G149" s="27" t="s">
        <v>37</v>
      </c>
      <c r="H149" s="27" t="s">
        <v>115</v>
      </c>
      <c r="I149" s="27" t="s">
        <v>73</v>
      </c>
      <c r="J149" s="26">
        <v>42776</v>
      </c>
      <c r="K149" s="26">
        <v>43010</v>
      </c>
      <c r="L149" s="27">
        <f t="shared" si="14"/>
        <v>235</v>
      </c>
      <c r="M149" s="45">
        <v>28050</v>
      </c>
      <c r="N149" s="45">
        <v>121799.99999999999</v>
      </c>
      <c r="O149" s="27">
        <v>212</v>
      </c>
      <c r="P149" s="46">
        <f t="shared" si="15"/>
        <v>0.76970443349753692</v>
      </c>
      <c r="Q149" s="27">
        <v>37</v>
      </c>
      <c r="R149" s="44">
        <f t="shared" si="12"/>
        <v>4506599.9999999991</v>
      </c>
      <c r="S149" s="29">
        <v>0</v>
      </c>
      <c r="T149" s="44">
        <f t="shared" si="16"/>
        <v>4506599.9999999991</v>
      </c>
      <c r="U149" s="44">
        <f t="shared" si="17"/>
        <v>3468749.9999999991</v>
      </c>
      <c r="V149" s="44"/>
    </row>
    <row r="150" spans="1:22" ht="14.5" x14ac:dyDescent="0.35">
      <c r="A150" s="47" t="str">
        <f t="shared" si="13"/>
        <v>JKT-SS-E1029-2017</v>
      </c>
      <c r="B150" s="26">
        <v>42798</v>
      </c>
      <c r="C150" s="42">
        <v>2017</v>
      </c>
      <c r="D150" s="27" t="s">
        <v>297</v>
      </c>
      <c r="E150" s="27" t="s">
        <v>32</v>
      </c>
      <c r="F150" s="42" t="str" cm="1">
        <f t="array" ref="F150">_xlfn.IFS(E150="Bandung","BDG",E150="Surabaya","SBY",E150="Jakarta","JKT")</f>
        <v>JKT</v>
      </c>
      <c r="G150" s="27" t="s">
        <v>37</v>
      </c>
      <c r="H150" s="27" t="s">
        <v>113</v>
      </c>
      <c r="I150" s="27" t="s">
        <v>39</v>
      </c>
      <c r="J150" s="26">
        <v>42799</v>
      </c>
      <c r="K150" s="26">
        <v>42858</v>
      </c>
      <c r="L150" s="27">
        <f t="shared" si="14"/>
        <v>60</v>
      </c>
      <c r="M150" s="45">
        <v>52050</v>
      </c>
      <c r="N150" s="45">
        <v>100200</v>
      </c>
      <c r="O150" s="27">
        <v>117</v>
      </c>
      <c r="P150" s="46">
        <f t="shared" si="15"/>
        <v>0.48053892215568861</v>
      </c>
      <c r="Q150" s="27">
        <v>15</v>
      </c>
      <c r="R150" s="44">
        <f t="shared" si="12"/>
        <v>1503000</v>
      </c>
      <c r="S150" s="29">
        <v>0.03</v>
      </c>
      <c r="T150" s="44">
        <f t="shared" si="16"/>
        <v>1457910</v>
      </c>
      <c r="U150" s="44">
        <f t="shared" si="17"/>
        <v>677160</v>
      </c>
      <c r="V150" s="44"/>
    </row>
    <row r="151" spans="1:22" ht="14.5" x14ac:dyDescent="0.35">
      <c r="A151" s="47" t="str">
        <f t="shared" si="13"/>
        <v>JKT-SS-E1029-2019</v>
      </c>
      <c r="B151" s="26">
        <v>43654</v>
      </c>
      <c r="C151" s="42">
        <v>2019</v>
      </c>
      <c r="D151" s="27" t="s">
        <v>297</v>
      </c>
      <c r="E151" s="27" t="s">
        <v>32</v>
      </c>
      <c r="F151" s="42" t="str" cm="1">
        <f t="array" ref="F151">_xlfn.IFS(E151="Bandung","BDG",E151="Surabaya","SBY",E151="Jakarta","JKT")</f>
        <v>JKT</v>
      </c>
      <c r="G151" s="27" t="s">
        <v>37</v>
      </c>
      <c r="H151" s="27" t="s">
        <v>343</v>
      </c>
      <c r="I151" s="27" t="s">
        <v>39</v>
      </c>
      <c r="J151" s="26">
        <v>43654</v>
      </c>
      <c r="K151" s="26">
        <v>43684</v>
      </c>
      <c r="L151" s="27">
        <f t="shared" si="14"/>
        <v>30</v>
      </c>
      <c r="M151" s="45">
        <v>34650</v>
      </c>
      <c r="N151" s="45">
        <v>56700</v>
      </c>
      <c r="O151" s="27">
        <v>272</v>
      </c>
      <c r="P151" s="46">
        <f t="shared" si="15"/>
        <v>0.3888888888888889</v>
      </c>
      <c r="Q151" s="27">
        <v>28</v>
      </c>
      <c r="R151" s="44">
        <f t="shared" si="12"/>
        <v>1587600</v>
      </c>
      <c r="S151" s="29">
        <v>0</v>
      </c>
      <c r="T151" s="44">
        <f t="shared" si="16"/>
        <v>1587600</v>
      </c>
      <c r="U151" s="44">
        <f t="shared" si="17"/>
        <v>617400</v>
      </c>
      <c r="V151" s="44"/>
    </row>
    <row r="152" spans="1:22" ht="14.5" x14ac:dyDescent="0.35">
      <c r="A152" s="47" t="str">
        <f t="shared" si="13"/>
        <v>SBY-SW-E1030-2017</v>
      </c>
      <c r="B152" s="26">
        <v>43094</v>
      </c>
      <c r="C152" s="42">
        <v>2017</v>
      </c>
      <c r="D152" s="27" t="s">
        <v>480</v>
      </c>
      <c r="E152" s="27" t="s">
        <v>41</v>
      </c>
      <c r="F152" s="42" t="str" cm="1">
        <f t="array" ref="F152">_xlfn.IFS(E152="Bandung","BDG",E152="Surabaya","SBY",E152="Jakarta","JKT")</f>
        <v>SBY</v>
      </c>
      <c r="G152" s="27" t="s">
        <v>42</v>
      </c>
      <c r="H152" s="27" t="s">
        <v>276</v>
      </c>
      <c r="I152" s="27" t="s">
        <v>35</v>
      </c>
      <c r="J152" s="26">
        <v>43101</v>
      </c>
      <c r="K152" s="26">
        <v>43101</v>
      </c>
      <c r="L152" s="27">
        <f t="shared" si="14"/>
        <v>7</v>
      </c>
      <c r="M152" s="45">
        <v>224250</v>
      </c>
      <c r="N152" s="45">
        <v>521399.99999999994</v>
      </c>
      <c r="O152" s="27">
        <v>181</v>
      </c>
      <c r="P152" s="46">
        <f t="shared" si="15"/>
        <v>0.56990794016110469</v>
      </c>
      <c r="Q152" s="27">
        <v>34</v>
      </c>
      <c r="R152" s="44">
        <f t="shared" si="12"/>
        <v>17727599.999999996</v>
      </c>
      <c r="S152" s="29">
        <v>0.03</v>
      </c>
      <c r="T152" s="44">
        <f t="shared" si="16"/>
        <v>17195771.999999996</v>
      </c>
      <c r="U152" s="44">
        <f t="shared" si="17"/>
        <v>9571271.9999999963</v>
      </c>
      <c r="V152" s="44"/>
    </row>
    <row r="153" spans="1:22" ht="14.5" x14ac:dyDescent="0.35">
      <c r="A153" s="47" t="str">
        <f t="shared" si="13"/>
        <v>SBY-SW-E1030-2019</v>
      </c>
      <c r="B153" s="26">
        <v>43613</v>
      </c>
      <c r="C153" s="42">
        <v>2019</v>
      </c>
      <c r="D153" s="27" t="s">
        <v>480</v>
      </c>
      <c r="E153" s="27" t="s">
        <v>41</v>
      </c>
      <c r="F153" s="42" t="str" cm="1">
        <f t="array" ref="F153">_xlfn.IFS(E153="Bandung","BDG",E153="Surabaya","SBY",E153="Jakarta","JKT")</f>
        <v>SBY</v>
      </c>
      <c r="G153" s="27" t="s">
        <v>42</v>
      </c>
      <c r="H153" s="27" t="s">
        <v>132</v>
      </c>
      <c r="I153" s="27" t="s">
        <v>73</v>
      </c>
      <c r="J153" s="26">
        <v>43614</v>
      </c>
      <c r="K153" s="26">
        <v>43614</v>
      </c>
      <c r="L153" s="27">
        <f t="shared" si="14"/>
        <v>1</v>
      </c>
      <c r="M153" s="45">
        <v>82500</v>
      </c>
      <c r="N153" s="45">
        <v>183300</v>
      </c>
      <c r="O153" s="27">
        <v>151</v>
      </c>
      <c r="P153" s="46">
        <f t="shared" si="15"/>
        <v>0.54991816693944351</v>
      </c>
      <c r="Q153" s="27">
        <v>10</v>
      </c>
      <c r="R153" s="44">
        <f t="shared" si="12"/>
        <v>1833000</v>
      </c>
      <c r="S153" s="29">
        <v>0.1</v>
      </c>
      <c r="T153" s="44">
        <f t="shared" si="16"/>
        <v>1649700</v>
      </c>
      <c r="U153" s="44">
        <f t="shared" si="17"/>
        <v>824700</v>
      </c>
      <c r="V153" s="44"/>
    </row>
    <row r="154" spans="1:22" ht="14.5" x14ac:dyDescent="0.35">
      <c r="A154" s="47" t="str">
        <f t="shared" si="13"/>
        <v>SBY-SP-E1036-2016</v>
      </c>
      <c r="B154" s="26">
        <v>42630</v>
      </c>
      <c r="C154" s="42">
        <v>2016</v>
      </c>
      <c r="D154" s="27" t="s">
        <v>162</v>
      </c>
      <c r="E154" s="27" t="s">
        <v>41</v>
      </c>
      <c r="F154" s="42" t="str" cm="1">
        <f t="array" ref="F154">_xlfn.IFS(E154="Bandung","BDG",E154="Surabaya","SBY",E154="Jakarta","JKT")</f>
        <v>SBY</v>
      </c>
      <c r="G154" s="27" t="s">
        <v>78</v>
      </c>
      <c r="H154" s="27" t="s">
        <v>67</v>
      </c>
      <c r="I154" s="27" t="s">
        <v>35</v>
      </c>
      <c r="J154" s="26">
        <v>42632</v>
      </c>
      <c r="K154" s="26">
        <v>42632</v>
      </c>
      <c r="L154" s="27">
        <f t="shared" si="14"/>
        <v>2</v>
      </c>
      <c r="M154" s="45">
        <v>540300</v>
      </c>
      <c r="N154" s="45">
        <v>871500</v>
      </c>
      <c r="O154" s="27">
        <v>67</v>
      </c>
      <c r="P154" s="46">
        <f t="shared" si="15"/>
        <v>0.38003442340791738</v>
      </c>
      <c r="Q154" s="27">
        <v>10</v>
      </c>
      <c r="R154" s="44">
        <f t="shared" si="12"/>
        <v>8715000</v>
      </c>
      <c r="S154" s="29">
        <v>0.09</v>
      </c>
      <c r="T154" s="44">
        <f t="shared" si="16"/>
        <v>7930650</v>
      </c>
      <c r="U154" s="44">
        <f t="shared" si="17"/>
        <v>2527650</v>
      </c>
      <c r="V154" s="44"/>
    </row>
    <row r="155" spans="1:22" ht="14.5" x14ac:dyDescent="0.35">
      <c r="A155" s="47" t="str">
        <f t="shared" si="13"/>
        <v>SBY-SP-E1036-2017</v>
      </c>
      <c r="B155" s="26">
        <v>42752</v>
      </c>
      <c r="C155" s="42">
        <v>2017</v>
      </c>
      <c r="D155" s="27" t="s">
        <v>162</v>
      </c>
      <c r="E155" s="27" t="s">
        <v>41</v>
      </c>
      <c r="F155" s="42" t="str" cm="1">
        <f t="array" ref="F155">_xlfn.IFS(E155="Bandung","BDG",E155="Surabaya","SBY",E155="Jakarta","JKT")</f>
        <v>SBY</v>
      </c>
      <c r="G155" s="27" t="s">
        <v>78</v>
      </c>
      <c r="H155" s="27" t="s">
        <v>185</v>
      </c>
      <c r="I155" s="27" t="s">
        <v>35</v>
      </c>
      <c r="J155" s="26">
        <v>42754</v>
      </c>
      <c r="K155" s="26">
        <v>42754</v>
      </c>
      <c r="L155" s="27">
        <f t="shared" si="14"/>
        <v>2</v>
      </c>
      <c r="M155" s="45">
        <v>19950</v>
      </c>
      <c r="N155" s="45">
        <v>31200</v>
      </c>
      <c r="O155" s="27">
        <v>194</v>
      </c>
      <c r="P155" s="46">
        <f t="shared" si="15"/>
        <v>0.36057692307692307</v>
      </c>
      <c r="Q155" s="27">
        <v>16</v>
      </c>
      <c r="R155" s="44">
        <f t="shared" si="12"/>
        <v>499200</v>
      </c>
      <c r="S155" s="29">
        <v>0.04</v>
      </c>
      <c r="T155" s="44">
        <f t="shared" si="16"/>
        <v>479232</v>
      </c>
      <c r="U155" s="44">
        <f t="shared" si="17"/>
        <v>160032</v>
      </c>
      <c r="V155" s="44"/>
    </row>
    <row r="156" spans="1:22" ht="14.5" x14ac:dyDescent="0.35">
      <c r="A156" s="47" t="str">
        <f t="shared" si="13"/>
        <v>SBY-SP-E1036-2019</v>
      </c>
      <c r="B156" s="26">
        <v>43736</v>
      </c>
      <c r="C156" s="42">
        <v>2019</v>
      </c>
      <c r="D156" s="27" t="s">
        <v>162</v>
      </c>
      <c r="E156" s="27" t="s">
        <v>41</v>
      </c>
      <c r="F156" s="42" t="str" cm="1">
        <f t="array" ref="F156">_xlfn.IFS(E156="Bandung","BDG",E156="Surabaya","SBY",E156="Jakarta","JKT")</f>
        <v>SBY</v>
      </c>
      <c r="G156" s="27" t="s">
        <v>78</v>
      </c>
      <c r="H156" s="27" t="s">
        <v>49</v>
      </c>
      <c r="I156" s="27" t="s">
        <v>39</v>
      </c>
      <c r="J156" s="26">
        <v>43738</v>
      </c>
      <c r="K156" s="26">
        <v>43738</v>
      </c>
      <c r="L156" s="27">
        <f t="shared" si="14"/>
        <v>2</v>
      </c>
      <c r="M156" s="45">
        <v>13500</v>
      </c>
      <c r="N156" s="45">
        <v>31500</v>
      </c>
      <c r="O156" s="27">
        <v>203</v>
      </c>
      <c r="P156" s="46">
        <f t="shared" si="15"/>
        <v>0.5714285714285714</v>
      </c>
      <c r="Q156" s="27">
        <v>31</v>
      </c>
      <c r="R156" s="44">
        <f t="shared" si="12"/>
        <v>976500</v>
      </c>
      <c r="S156" s="29">
        <v>0.08</v>
      </c>
      <c r="T156" s="44">
        <f t="shared" si="16"/>
        <v>898380</v>
      </c>
      <c r="U156" s="44">
        <f t="shared" si="17"/>
        <v>479880</v>
      </c>
      <c r="V156" s="44"/>
    </row>
    <row r="157" spans="1:22" ht="14.5" x14ac:dyDescent="0.35">
      <c r="A157" s="47" t="str">
        <f t="shared" si="13"/>
        <v>SBY-SM-E1035-2016</v>
      </c>
      <c r="B157" s="26">
        <v>42676</v>
      </c>
      <c r="C157" s="42">
        <v>2016</v>
      </c>
      <c r="D157" s="27" t="s">
        <v>208</v>
      </c>
      <c r="E157" s="27" t="s">
        <v>41</v>
      </c>
      <c r="F157" s="42" t="str" cm="1">
        <f t="array" ref="F157">_xlfn.IFS(E157="Bandung","BDG",E157="Surabaya","SBY",E157="Jakarta","JKT")</f>
        <v>SBY</v>
      </c>
      <c r="G157" s="27" t="s">
        <v>71</v>
      </c>
      <c r="H157" s="27" t="s">
        <v>209</v>
      </c>
      <c r="I157" s="27" t="s">
        <v>46</v>
      </c>
      <c r="J157" s="26">
        <v>42678</v>
      </c>
      <c r="K157" s="26">
        <v>42471</v>
      </c>
      <c r="L157" s="27">
        <f t="shared" si="14"/>
        <v>-205</v>
      </c>
      <c r="M157" s="45">
        <v>4184850</v>
      </c>
      <c r="N157" s="45">
        <v>6749850</v>
      </c>
      <c r="O157" s="27">
        <v>405</v>
      </c>
      <c r="P157" s="46">
        <f t="shared" si="15"/>
        <v>0.38000844463210293</v>
      </c>
      <c r="Q157" s="27">
        <v>12</v>
      </c>
      <c r="R157" s="44">
        <f t="shared" si="12"/>
        <v>80998200</v>
      </c>
      <c r="S157" s="29">
        <v>0.06</v>
      </c>
      <c r="T157" s="44">
        <f t="shared" si="16"/>
        <v>76138308</v>
      </c>
      <c r="U157" s="44">
        <f t="shared" si="17"/>
        <v>25920108</v>
      </c>
      <c r="V157" s="44"/>
    </row>
    <row r="158" spans="1:22" ht="14.5" x14ac:dyDescent="0.35">
      <c r="A158" s="47" t="str">
        <f t="shared" si="13"/>
        <v>SBY-SH-E1034-2016</v>
      </c>
      <c r="B158" s="26">
        <v>42614</v>
      </c>
      <c r="C158" s="42">
        <v>2016</v>
      </c>
      <c r="D158" s="27" t="s">
        <v>131</v>
      </c>
      <c r="E158" s="27" t="s">
        <v>41</v>
      </c>
      <c r="F158" s="42" t="str" cm="1">
        <f t="array" ref="F158">_xlfn.IFS(E158="Bandung","BDG",E158="Surabaya","SBY",E158="Jakarta","JKT")</f>
        <v>SBY</v>
      </c>
      <c r="G158" s="27" t="s">
        <v>65</v>
      </c>
      <c r="H158" s="27" t="s">
        <v>132</v>
      </c>
      <c r="I158" s="27" t="s">
        <v>73</v>
      </c>
      <c r="J158" s="26">
        <v>42615</v>
      </c>
      <c r="K158" s="26">
        <v>42409</v>
      </c>
      <c r="L158" s="27">
        <f t="shared" si="14"/>
        <v>-205</v>
      </c>
      <c r="M158" s="45">
        <v>82500</v>
      </c>
      <c r="N158" s="45">
        <v>183300</v>
      </c>
      <c r="O158" s="27">
        <v>141</v>
      </c>
      <c r="P158" s="46">
        <f t="shared" si="15"/>
        <v>0.54991816693944351</v>
      </c>
      <c r="Q158" s="27">
        <v>35</v>
      </c>
      <c r="R158" s="44">
        <f t="shared" si="12"/>
        <v>6415500</v>
      </c>
      <c r="S158" s="29">
        <v>0</v>
      </c>
      <c r="T158" s="44">
        <f t="shared" si="16"/>
        <v>6415500</v>
      </c>
      <c r="U158" s="44">
        <f t="shared" si="17"/>
        <v>3528000</v>
      </c>
      <c r="V158" s="44"/>
    </row>
    <row r="159" spans="1:22" ht="14.5" x14ac:dyDescent="0.35">
      <c r="A159" s="47" t="str">
        <f t="shared" si="13"/>
        <v>SBY-SH-E1034-2017</v>
      </c>
      <c r="B159" s="26">
        <v>42753</v>
      </c>
      <c r="C159" s="42">
        <v>2017</v>
      </c>
      <c r="D159" s="27" t="s">
        <v>131</v>
      </c>
      <c r="E159" s="27" t="s">
        <v>41</v>
      </c>
      <c r="F159" s="42" t="str" cm="1">
        <f t="array" ref="F159">_xlfn.IFS(E159="Bandung","BDG",E159="Surabaya","SBY",E159="Jakarta","JKT")</f>
        <v>SBY</v>
      </c>
      <c r="G159" s="27" t="s">
        <v>65</v>
      </c>
      <c r="H159" s="27" t="s">
        <v>119</v>
      </c>
      <c r="I159" s="27" t="s">
        <v>120</v>
      </c>
      <c r="J159" s="26" t="s">
        <v>1590</v>
      </c>
      <c r="K159" s="26">
        <v>42754</v>
      </c>
      <c r="L159" s="27">
        <f t="shared" si="14"/>
        <v>1</v>
      </c>
      <c r="M159" s="45">
        <v>132300</v>
      </c>
      <c r="N159" s="45">
        <v>314850</v>
      </c>
      <c r="O159" s="27">
        <v>313</v>
      </c>
      <c r="P159" s="46">
        <f t="shared" si="15"/>
        <v>0.57979990471653164</v>
      </c>
      <c r="Q159" s="27">
        <v>25</v>
      </c>
      <c r="R159" s="44">
        <f t="shared" si="12"/>
        <v>7871250</v>
      </c>
      <c r="S159" s="29">
        <v>0.05</v>
      </c>
      <c r="T159" s="44">
        <f t="shared" si="16"/>
        <v>7477687.5</v>
      </c>
      <c r="U159" s="44">
        <f t="shared" si="17"/>
        <v>4170187.5</v>
      </c>
      <c r="V159" s="44"/>
    </row>
    <row r="160" spans="1:22" ht="14.5" x14ac:dyDescent="0.35">
      <c r="A160" s="47" t="str">
        <f t="shared" si="13"/>
        <v>SBY-SH-E1034-2019</v>
      </c>
      <c r="B160" s="26">
        <v>43609</v>
      </c>
      <c r="C160" s="42">
        <v>2019</v>
      </c>
      <c r="D160" s="27" t="s">
        <v>131</v>
      </c>
      <c r="E160" s="27" t="s">
        <v>41</v>
      </c>
      <c r="F160" s="42" t="str" cm="1">
        <f t="array" ref="F160">_xlfn.IFS(E160="Bandung","BDG",E160="Surabaya","SBY",E160="Jakarta","JKT")</f>
        <v>SBY</v>
      </c>
      <c r="G160" s="27" t="s">
        <v>65</v>
      </c>
      <c r="H160" s="27" t="s">
        <v>364</v>
      </c>
      <c r="I160" s="27" t="s">
        <v>39</v>
      </c>
      <c r="J160" s="26">
        <v>43614</v>
      </c>
      <c r="K160" s="26">
        <v>43614</v>
      </c>
      <c r="L160" s="27">
        <f t="shared" si="14"/>
        <v>5</v>
      </c>
      <c r="M160" s="45">
        <v>38850</v>
      </c>
      <c r="N160" s="45">
        <v>59700</v>
      </c>
      <c r="O160" s="27">
        <v>142</v>
      </c>
      <c r="P160" s="46">
        <f t="shared" si="15"/>
        <v>0.34924623115577891</v>
      </c>
      <c r="Q160" s="27">
        <v>50</v>
      </c>
      <c r="R160" s="44">
        <f t="shared" si="12"/>
        <v>2985000</v>
      </c>
      <c r="S160" s="29">
        <v>0.08</v>
      </c>
      <c r="T160" s="44">
        <f t="shared" si="16"/>
        <v>2746200</v>
      </c>
      <c r="U160" s="44">
        <f t="shared" si="17"/>
        <v>803700</v>
      </c>
      <c r="V160" s="44"/>
    </row>
    <row r="161" spans="1:22" ht="14.5" x14ac:dyDescent="0.35">
      <c r="A161" s="47" t="str">
        <f t="shared" si="13"/>
        <v>SBY-SH-E1034-2019</v>
      </c>
      <c r="B161" s="26">
        <v>43610</v>
      </c>
      <c r="C161" s="42">
        <v>2019</v>
      </c>
      <c r="D161" s="27" t="s">
        <v>131</v>
      </c>
      <c r="E161" s="27" t="s">
        <v>41</v>
      </c>
      <c r="F161" s="42" t="str" cm="1">
        <f t="array" ref="F161">_xlfn.IFS(E161="Bandung","BDG",E161="Surabaya","SBY",E161="Jakarta","JKT")</f>
        <v>SBY</v>
      </c>
      <c r="G161" s="27" t="s">
        <v>65</v>
      </c>
      <c r="H161" s="27" t="s">
        <v>182</v>
      </c>
      <c r="I161" s="27" t="s">
        <v>39</v>
      </c>
      <c r="J161" s="26" t="s">
        <v>1730</v>
      </c>
      <c r="K161" s="26">
        <v>43611</v>
      </c>
      <c r="L161" s="27">
        <f t="shared" si="14"/>
        <v>1</v>
      </c>
      <c r="M161" s="45">
        <v>166650</v>
      </c>
      <c r="N161" s="45">
        <v>297600</v>
      </c>
      <c r="O161" s="27">
        <v>212</v>
      </c>
      <c r="P161" s="46">
        <f t="shared" si="15"/>
        <v>0.44002016129032256</v>
      </c>
      <c r="Q161" s="27">
        <v>10</v>
      </c>
      <c r="R161" s="44">
        <f t="shared" si="12"/>
        <v>2976000</v>
      </c>
      <c r="S161" s="29">
        <v>0.05</v>
      </c>
      <c r="T161" s="44">
        <f t="shared" si="16"/>
        <v>2827200</v>
      </c>
      <c r="U161" s="44">
        <f t="shared" si="17"/>
        <v>1160700</v>
      </c>
      <c r="V161" s="44"/>
    </row>
    <row r="162" spans="1:22" ht="14.5" x14ac:dyDescent="0.35">
      <c r="A162" s="47" t="str">
        <f t="shared" si="13"/>
        <v>SBY-RA-E1036-2017</v>
      </c>
      <c r="B162" s="26">
        <v>42898</v>
      </c>
      <c r="C162" s="42">
        <v>2017</v>
      </c>
      <c r="D162" s="27" t="s">
        <v>382</v>
      </c>
      <c r="E162" s="27" t="s">
        <v>41</v>
      </c>
      <c r="F162" s="42" t="str" cm="1">
        <f t="array" ref="F162">_xlfn.IFS(E162="Bandung","BDG",E162="Surabaya","SBY",E162="Jakarta","JKT")</f>
        <v>SBY</v>
      </c>
      <c r="G162" s="27" t="s">
        <v>78</v>
      </c>
      <c r="H162" s="27" t="s">
        <v>49</v>
      </c>
      <c r="I162" s="27" t="s">
        <v>39</v>
      </c>
      <c r="J162" s="26">
        <v>42899</v>
      </c>
      <c r="K162" s="26">
        <v>42899</v>
      </c>
      <c r="L162" s="27">
        <f t="shared" si="14"/>
        <v>1</v>
      </c>
      <c r="M162" s="45">
        <v>13500</v>
      </c>
      <c r="N162" s="45">
        <v>31500</v>
      </c>
      <c r="O162" s="27">
        <v>172</v>
      </c>
      <c r="P162" s="46">
        <f t="shared" si="15"/>
        <v>0.5714285714285714</v>
      </c>
      <c r="Q162" s="27">
        <v>21</v>
      </c>
      <c r="R162" s="44">
        <f t="shared" si="12"/>
        <v>661500</v>
      </c>
      <c r="S162" s="29">
        <v>0.04</v>
      </c>
      <c r="T162" s="44">
        <f t="shared" si="16"/>
        <v>635040</v>
      </c>
      <c r="U162" s="44">
        <f t="shared" si="17"/>
        <v>351540</v>
      </c>
      <c r="V162" s="44"/>
    </row>
    <row r="163" spans="1:22" ht="14.5" x14ac:dyDescent="0.35">
      <c r="A163" s="47" t="str">
        <f t="shared" si="13"/>
        <v>JKT-RA-E1028-2018</v>
      </c>
      <c r="B163" s="26">
        <v>43447</v>
      </c>
      <c r="C163" s="42">
        <v>2018</v>
      </c>
      <c r="D163" s="27" t="s">
        <v>623</v>
      </c>
      <c r="E163" s="27" t="s">
        <v>32</v>
      </c>
      <c r="F163" s="42" t="str" cm="1">
        <f t="array" ref="F163">_xlfn.IFS(E163="Bandung","BDG",E163="Surabaya","SBY",E163="Jakarta","JKT")</f>
        <v>JKT</v>
      </c>
      <c r="G163" s="27" t="s">
        <v>33</v>
      </c>
      <c r="H163" s="27" t="s">
        <v>216</v>
      </c>
      <c r="I163" s="27" t="s">
        <v>35</v>
      </c>
      <c r="J163" s="26" t="s">
        <v>1708</v>
      </c>
      <c r="K163" s="26">
        <v>43448</v>
      </c>
      <c r="L163" s="27">
        <f t="shared" si="14"/>
        <v>1</v>
      </c>
      <c r="M163" s="45">
        <v>66900</v>
      </c>
      <c r="N163" s="45">
        <v>163350</v>
      </c>
      <c r="O163" s="27">
        <v>338</v>
      </c>
      <c r="P163" s="46">
        <f t="shared" si="15"/>
        <v>0.59044995408631773</v>
      </c>
      <c r="Q163" s="27">
        <v>50</v>
      </c>
      <c r="R163" s="44">
        <f t="shared" si="12"/>
        <v>8167500</v>
      </c>
      <c r="S163" s="29">
        <v>0.09</v>
      </c>
      <c r="T163" s="44">
        <f t="shared" si="16"/>
        <v>7432425</v>
      </c>
      <c r="U163" s="44">
        <f t="shared" si="17"/>
        <v>4087425</v>
      </c>
      <c r="V163" s="44"/>
    </row>
    <row r="164" spans="1:22" ht="14.5" x14ac:dyDescent="0.35">
      <c r="A164" s="47" t="str">
        <f t="shared" si="13"/>
        <v>JKT-RP-E1029-2017</v>
      </c>
      <c r="B164" s="26">
        <v>42917</v>
      </c>
      <c r="C164" s="42">
        <v>2017</v>
      </c>
      <c r="D164" s="27" t="s">
        <v>392</v>
      </c>
      <c r="E164" s="27" t="s">
        <v>32</v>
      </c>
      <c r="F164" s="42" t="str" cm="1">
        <f t="array" ref="F164">_xlfn.IFS(E164="Bandung","BDG",E164="Surabaya","SBY",E164="Jakarta","JKT")</f>
        <v>JKT</v>
      </c>
      <c r="G164" s="27" t="s">
        <v>37</v>
      </c>
      <c r="H164" s="27" t="s">
        <v>229</v>
      </c>
      <c r="I164" s="27" t="s">
        <v>35</v>
      </c>
      <c r="J164" s="26">
        <v>42919</v>
      </c>
      <c r="K164" s="26">
        <v>42801</v>
      </c>
      <c r="L164" s="27">
        <f t="shared" si="14"/>
        <v>-116</v>
      </c>
      <c r="M164" s="45">
        <v>33900</v>
      </c>
      <c r="N164" s="45">
        <v>53700</v>
      </c>
      <c r="O164" s="27">
        <v>263</v>
      </c>
      <c r="P164" s="46">
        <f t="shared" si="15"/>
        <v>0.36871508379888268</v>
      </c>
      <c r="Q164" s="27">
        <v>39</v>
      </c>
      <c r="R164" s="44">
        <f t="shared" si="12"/>
        <v>2094300</v>
      </c>
      <c r="S164" s="29">
        <v>0</v>
      </c>
      <c r="T164" s="44">
        <f t="shared" si="16"/>
        <v>2094300</v>
      </c>
      <c r="U164" s="44">
        <f t="shared" si="17"/>
        <v>772200</v>
      </c>
      <c r="V164" s="44"/>
    </row>
    <row r="165" spans="1:22" ht="14.5" x14ac:dyDescent="0.35">
      <c r="A165" s="47" t="str">
        <f t="shared" si="13"/>
        <v>JKT-RP-E1029-2018</v>
      </c>
      <c r="B165" s="26">
        <v>43298</v>
      </c>
      <c r="C165" s="42">
        <v>2018</v>
      </c>
      <c r="D165" s="27" t="s">
        <v>392</v>
      </c>
      <c r="E165" s="27" t="s">
        <v>32</v>
      </c>
      <c r="F165" s="42" t="str" cm="1">
        <f t="array" ref="F165">_xlfn.IFS(E165="Bandung","BDG",E165="Surabaya","SBY",E165="Jakarta","JKT")</f>
        <v>JKT</v>
      </c>
      <c r="G165" s="27" t="s">
        <v>37</v>
      </c>
      <c r="H165" s="27" t="s">
        <v>364</v>
      </c>
      <c r="I165" s="27" t="s">
        <v>39</v>
      </c>
      <c r="J165" s="26" t="s">
        <v>1677</v>
      </c>
      <c r="K165" s="26">
        <v>43299</v>
      </c>
      <c r="L165" s="27">
        <f t="shared" si="14"/>
        <v>1</v>
      </c>
      <c r="M165" s="45">
        <v>38850</v>
      </c>
      <c r="N165" s="45">
        <v>59700</v>
      </c>
      <c r="O165" s="27">
        <v>92</v>
      </c>
      <c r="P165" s="46">
        <f t="shared" si="15"/>
        <v>0.34924623115577891</v>
      </c>
      <c r="Q165" s="27">
        <v>2</v>
      </c>
      <c r="R165" s="44">
        <f t="shared" si="12"/>
        <v>119400</v>
      </c>
      <c r="S165" s="29">
        <v>0.04</v>
      </c>
      <c r="T165" s="44">
        <f t="shared" si="16"/>
        <v>114624</v>
      </c>
      <c r="U165" s="44">
        <f t="shared" si="17"/>
        <v>36924</v>
      </c>
      <c r="V165" s="44"/>
    </row>
    <row r="166" spans="1:22" ht="14.5" x14ac:dyDescent="0.35">
      <c r="A166" s="47" t="str">
        <f t="shared" si="13"/>
        <v>JKT-RP-E1029-2020</v>
      </c>
      <c r="B166" s="26">
        <v>43891</v>
      </c>
      <c r="C166" s="42">
        <v>2020</v>
      </c>
      <c r="D166" s="27" t="s">
        <v>392</v>
      </c>
      <c r="E166" s="27" t="s">
        <v>32</v>
      </c>
      <c r="F166" s="42" t="str" cm="1">
        <f t="array" ref="F166">_xlfn.IFS(E166="Bandung","BDG",E166="Surabaya","SBY",E166="Jakarta","JKT")</f>
        <v>JKT</v>
      </c>
      <c r="G166" s="27" t="s">
        <v>37</v>
      </c>
      <c r="H166" s="27" t="s">
        <v>134</v>
      </c>
      <c r="I166" s="27" t="s">
        <v>35</v>
      </c>
      <c r="J166" s="26">
        <v>43893</v>
      </c>
      <c r="K166" s="26">
        <v>43893</v>
      </c>
      <c r="L166" s="27">
        <f t="shared" si="14"/>
        <v>2</v>
      </c>
      <c r="M166" s="45">
        <v>204600</v>
      </c>
      <c r="N166" s="45">
        <v>314700</v>
      </c>
      <c r="O166" s="27">
        <v>156</v>
      </c>
      <c r="P166" s="46">
        <f t="shared" si="15"/>
        <v>0.34985700667302194</v>
      </c>
      <c r="Q166" s="27">
        <v>42</v>
      </c>
      <c r="R166" s="44">
        <f t="shared" si="12"/>
        <v>13217400</v>
      </c>
      <c r="S166" s="29">
        <v>0.1</v>
      </c>
      <c r="T166" s="44">
        <f t="shared" si="16"/>
        <v>11895660</v>
      </c>
      <c r="U166" s="44">
        <f t="shared" si="17"/>
        <v>3302460</v>
      </c>
      <c r="V166" s="44"/>
    </row>
    <row r="167" spans="1:22" ht="14.5" x14ac:dyDescent="0.35">
      <c r="A167" s="47" t="str">
        <f t="shared" si="13"/>
        <v>SBY-RF-E1034-2020</v>
      </c>
      <c r="B167" s="26">
        <v>43874</v>
      </c>
      <c r="C167" s="42">
        <v>2020</v>
      </c>
      <c r="D167" s="27" t="s">
        <v>714</v>
      </c>
      <c r="E167" s="27" t="s">
        <v>41</v>
      </c>
      <c r="F167" s="42" t="str" cm="1">
        <f t="array" ref="F167">_xlfn.IFS(E167="Bandung","BDG",E167="Surabaya","SBY",E167="Jakarta","JKT")</f>
        <v>SBY</v>
      </c>
      <c r="G167" s="27" t="s">
        <v>65</v>
      </c>
      <c r="H167" s="27" t="s">
        <v>129</v>
      </c>
      <c r="I167" s="27" t="s">
        <v>120</v>
      </c>
      <c r="J167" s="26">
        <v>43874</v>
      </c>
      <c r="K167" s="26">
        <v>43874</v>
      </c>
      <c r="L167" s="27">
        <f t="shared" si="14"/>
        <v>0</v>
      </c>
      <c r="M167" s="45">
        <v>148650</v>
      </c>
      <c r="N167" s="45">
        <v>239850</v>
      </c>
      <c r="O167" s="27">
        <v>67</v>
      </c>
      <c r="P167" s="46">
        <f t="shared" si="15"/>
        <v>0.38023764853033148</v>
      </c>
      <c r="Q167" s="27">
        <v>33</v>
      </c>
      <c r="R167" s="44">
        <f t="shared" si="12"/>
        <v>7915050</v>
      </c>
      <c r="S167" s="29">
        <v>0.01</v>
      </c>
      <c r="T167" s="44">
        <f t="shared" si="16"/>
        <v>7835899.5</v>
      </c>
      <c r="U167" s="44">
        <f t="shared" si="17"/>
        <v>2930449.5</v>
      </c>
      <c r="V167" s="44"/>
    </row>
    <row r="168" spans="1:22" ht="14.5" x14ac:dyDescent="0.35">
      <c r="A168" s="47" t="str">
        <f t="shared" si="13"/>
        <v>SBY-RM-E1041-2018</v>
      </c>
      <c r="B168" s="26">
        <v>43159</v>
      </c>
      <c r="C168" s="42">
        <v>2018</v>
      </c>
      <c r="D168" s="27" t="s">
        <v>508</v>
      </c>
      <c r="E168" s="27" t="s">
        <v>41</v>
      </c>
      <c r="F168" s="42" t="str" cm="1">
        <f t="array" ref="F168">_xlfn.IFS(E168="Bandung","BDG",E168="Surabaya","SBY",E168="Jakarta","JKT")</f>
        <v>SBY</v>
      </c>
      <c r="G168" s="27" t="s">
        <v>166</v>
      </c>
      <c r="H168" s="27" t="s">
        <v>216</v>
      </c>
      <c r="I168" s="27" t="s">
        <v>35</v>
      </c>
      <c r="J168" s="26">
        <v>43164</v>
      </c>
      <c r="K168" s="26">
        <v>43223</v>
      </c>
      <c r="L168" s="27">
        <f t="shared" si="14"/>
        <v>64</v>
      </c>
      <c r="M168" s="45">
        <v>66900</v>
      </c>
      <c r="N168" s="45">
        <v>163350</v>
      </c>
      <c r="O168" s="27">
        <v>288</v>
      </c>
      <c r="P168" s="46">
        <f t="shared" si="15"/>
        <v>0.59044995408631773</v>
      </c>
      <c r="Q168" s="27">
        <v>8</v>
      </c>
      <c r="R168" s="44">
        <f t="shared" si="12"/>
        <v>1306800</v>
      </c>
      <c r="S168" s="29">
        <v>0.09</v>
      </c>
      <c r="T168" s="44">
        <f t="shared" si="16"/>
        <v>1189188</v>
      </c>
      <c r="U168" s="44">
        <f t="shared" si="17"/>
        <v>653988</v>
      </c>
      <c r="V168" s="44"/>
    </row>
    <row r="169" spans="1:22" ht="14.5" x14ac:dyDescent="0.35">
      <c r="A169" s="47" t="str">
        <f t="shared" si="13"/>
        <v>SBY-RS-E1031-2016</v>
      </c>
      <c r="B169" s="26">
        <v>42677</v>
      </c>
      <c r="C169" s="42">
        <v>2016</v>
      </c>
      <c r="D169" s="27" t="s">
        <v>210</v>
      </c>
      <c r="E169" s="27" t="s">
        <v>41</v>
      </c>
      <c r="F169" s="42" t="str" cm="1">
        <f t="array" ref="F169">_xlfn.IFS(E169="Bandung","BDG",E169="Surabaya","SBY",E169="Jakarta","JKT")</f>
        <v>SBY</v>
      </c>
      <c r="G169" s="27" t="s">
        <v>48</v>
      </c>
      <c r="H169" s="27" t="s">
        <v>185</v>
      </c>
      <c r="I169" s="27" t="s">
        <v>35</v>
      </c>
      <c r="J169" s="26">
        <v>42471</v>
      </c>
      <c r="K169" s="26">
        <v>42678</v>
      </c>
      <c r="L169" s="27">
        <f t="shared" si="14"/>
        <v>1</v>
      </c>
      <c r="M169" s="45">
        <v>19950</v>
      </c>
      <c r="N169" s="45">
        <v>31200</v>
      </c>
      <c r="O169" s="27">
        <v>178</v>
      </c>
      <c r="P169" s="46">
        <f t="shared" si="15"/>
        <v>0.36057692307692307</v>
      </c>
      <c r="Q169" s="27">
        <v>11</v>
      </c>
      <c r="R169" s="44">
        <f t="shared" si="12"/>
        <v>343200</v>
      </c>
      <c r="S169" s="29">
        <v>0.01</v>
      </c>
      <c r="T169" s="44">
        <f t="shared" si="16"/>
        <v>339768</v>
      </c>
      <c r="U169" s="44">
        <f t="shared" si="17"/>
        <v>120318</v>
      </c>
      <c r="V169" s="44"/>
    </row>
    <row r="170" spans="1:22" ht="14.5" x14ac:dyDescent="0.35">
      <c r="A170" s="47" t="str">
        <f t="shared" si="13"/>
        <v>SBY-RS-E1031-2018</v>
      </c>
      <c r="B170" s="26">
        <v>43368</v>
      </c>
      <c r="C170" s="42">
        <v>2018</v>
      </c>
      <c r="D170" s="27" t="s">
        <v>210</v>
      </c>
      <c r="E170" s="27" t="s">
        <v>41</v>
      </c>
      <c r="F170" s="42" t="str" cm="1">
        <f t="array" ref="F170">_xlfn.IFS(E170="Bandung","BDG",E170="Surabaya","SBY",E170="Jakarta","JKT")</f>
        <v>SBY</v>
      </c>
      <c r="G170" s="27" t="s">
        <v>48</v>
      </c>
      <c r="H170" s="27" t="s">
        <v>132</v>
      </c>
      <c r="I170" s="27" t="s">
        <v>73</v>
      </c>
      <c r="J170" s="26" t="s">
        <v>1695</v>
      </c>
      <c r="K170" s="26">
        <v>43371</v>
      </c>
      <c r="L170" s="27">
        <f t="shared" si="14"/>
        <v>3</v>
      </c>
      <c r="M170" s="45">
        <v>82500</v>
      </c>
      <c r="N170" s="45">
        <v>183300</v>
      </c>
      <c r="O170" s="27">
        <v>106</v>
      </c>
      <c r="P170" s="46">
        <f t="shared" si="15"/>
        <v>0.54991816693944351</v>
      </c>
      <c r="Q170" s="27">
        <v>8</v>
      </c>
      <c r="R170" s="44">
        <f t="shared" si="12"/>
        <v>1466400</v>
      </c>
      <c r="S170" s="29">
        <v>0.1</v>
      </c>
      <c r="T170" s="44">
        <f t="shared" si="16"/>
        <v>1319760</v>
      </c>
      <c r="U170" s="44">
        <f t="shared" si="17"/>
        <v>659760</v>
      </c>
      <c r="V170" s="44"/>
    </row>
    <row r="171" spans="1:22" ht="14.5" x14ac:dyDescent="0.35">
      <c r="A171" s="47" t="str">
        <f t="shared" si="13"/>
        <v>SBY-RS-E1031-2019</v>
      </c>
      <c r="B171" s="26">
        <v>43636</v>
      </c>
      <c r="C171" s="42">
        <v>2019</v>
      </c>
      <c r="D171" s="27" t="s">
        <v>210</v>
      </c>
      <c r="E171" s="27" t="s">
        <v>41</v>
      </c>
      <c r="F171" s="42" t="str" cm="1">
        <f t="array" ref="F171">_xlfn.IFS(E171="Bandung","BDG",E171="Surabaya","SBY",E171="Jakarta","JKT")</f>
        <v>SBY</v>
      </c>
      <c r="G171" s="27" t="s">
        <v>48</v>
      </c>
      <c r="H171" s="27" t="s">
        <v>298</v>
      </c>
      <c r="I171" s="27" t="s">
        <v>73</v>
      </c>
      <c r="J171" s="26">
        <v>43637</v>
      </c>
      <c r="K171" s="26">
        <v>43637</v>
      </c>
      <c r="L171" s="27">
        <f t="shared" si="14"/>
        <v>1</v>
      </c>
      <c r="M171" s="45">
        <v>252000</v>
      </c>
      <c r="N171" s="45">
        <v>614550</v>
      </c>
      <c r="O171" s="27">
        <v>320</v>
      </c>
      <c r="P171" s="46">
        <f t="shared" si="15"/>
        <v>0.58994386136197219</v>
      </c>
      <c r="Q171" s="27">
        <v>14</v>
      </c>
      <c r="R171" s="44">
        <f t="shared" si="12"/>
        <v>8603700</v>
      </c>
      <c r="S171" s="29">
        <v>0</v>
      </c>
      <c r="T171" s="44">
        <f t="shared" si="16"/>
        <v>8603700</v>
      </c>
      <c r="U171" s="44">
        <f t="shared" si="17"/>
        <v>5075700</v>
      </c>
      <c r="V171" s="44"/>
    </row>
    <row r="172" spans="1:22" ht="14.5" x14ac:dyDescent="0.35">
      <c r="A172" s="47" t="str">
        <f t="shared" si="13"/>
        <v>SBY-RU-E1037-2016</v>
      </c>
      <c r="B172" s="26">
        <v>42603</v>
      </c>
      <c r="C172" s="42">
        <v>2016</v>
      </c>
      <c r="D172" s="27" t="s">
        <v>118</v>
      </c>
      <c r="E172" s="27" t="s">
        <v>41</v>
      </c>
      <c r="F172" s="42" t="str" cm="1">
        <f t="array" ref="F172">_xlfn.IFS(E172="Bandung","BDG",E172="Surabaya","SBY",E172="Jakarta","JKT")</f>
        <v>SBY</v>
      </c>
      <c r="G172" s="27" t="s">
        <v>83</v>
      </c>
      <c r="H172" s="27" t="s">
        <v>119</v>
      </c>
      <c r="I172" s="27" t="s">
        <v>120</v>
      </c>
      <c r="J172" s="26">
        <v>42604</v>
      </c>
      <c r="K172" s="26">
        <v>42604</v>
      </c>
      <c r="L172" s="27">
        <f t="shared" si="14"/>
        <v>1</v>
      </c>
      <c r="M172" s="45">
        <v>132300</v>
      </c>
      <c r="N172" s="45">
        <v>314850</v>
      </c>
      <c r="O172" s="27">
        <v>288</v>
      </c>
      <c r="P172" s="46">
        <f t="shared" si="15"/>
        <v>0.57979990471653164</v>
      </c>
      <c r="Q172" s="27">
        <v>8</v>
      </c>
      <c r="R172" s="44">
        <f t="shared" si="12"/>
        <v>2518800</v>
      </c>
      <c r="S172" s="29">
        <v>0.09</v>
      </c>
      <c r="T172" s="44">
        <f t="shared" si="16"/>
        <v>2292108</v>
      </c>
      <c r="U172" s="44">
        <f t="shared" si="17"/>
        <v>1233708</v>
      </c>
      <c r="V172" s="44"/>
    </row>
    <row r="173" spans="1:22" ht="14.5" x14ac:dyDescent="0.35">
      <c r="A173" s="47" t="str">
        <f t="shared" si="13"/>
        <v>SBY-RM-E1034-2017</v>
      </c>
      <c r="B173" s="26">
        <v>42894</v>
      </c>
      <c r="C173" s="42">
        <v>2017</v>
      </c>
      <c r="D173" s="27" t="s">
        <v>380</v>
      </c>
      <c r="E173" s="27" t="s">
        <v>41</v>
      </c>
      <c r="F173" s="42" t="str" cm="1">
        <f t="array" ref="F173">_xlfn.IFS(E173="Bandung","BDG",E173="Surabaya","SBY",E173="Jakarta","JKT")</f>
        <v>SBY</v>
      </c>
      <c r="G173" s="27" t="s">
        <v>65</v>
      </c>
      <c r="H173" s="27" t="s">
        <v>92</v>
      </c>
      <c r="I173" s="27" t="s">
        <v>39</v>
      </c>
      <c r="J173" s="26">
        <v>42896</v>
      </c>
      <c r="K173" s="26">
        <v>43014</v>
      </c>
      <c r="L173" s="27">
        <f t="shared" si="14"/>
        <v>120</v>
      </c>
      <c r="M173" s="45">
        <v>37800</v>
      </c>
      <c r="N173" s="45">
        <v>60000</v>
      </c>
      <c r="O173" s="27">
        <v>250</v>
      </c>
      <c r="P173" s="46">
        <f t="shared" si="15"/>
        <v>0.37</v>
      </c>
      <c r="Q173" s="27">
        <v>33</v>
      </c>
      <c r="R173" s="44">
        <f t="shared" si="12"/>
        <v>1980000</v>
      </c>
      <c r="S173" s="29">
        <v>0.08</v>
      </c>
      <c r="T173" s="44">
        <f t="shared" si="16"/>
        <v>1821600</v>
      </c>
      <c r="U173" s="44">
        <f t="shared" si="17"/>
        <v>574200</v>
      </c>
      <c r="V173" s="44"/>
    </row>
    <row r="174" spans="1:22" ht="14.5" x14ac:dyDescent="0.35">
      <c r="A174" s="47" t="str">
        <f t="shared" si="13"/>
        <v>SBY-RM-E1034-2020</v>
      </c>
      <c r="B174" s="26">
        <v>43901</v>
      </c>
      <c r="C174" s="42">
        <v>2020</v>
      </c>
      <c r="D174" s="27" t="s">
        <v>380</v>
      </c>
      <c r="E174" s="27" t="s">
        <v>41</v>
      </c>
      <c r="F174" s="42" t="str" cm="1">
        <f t="array" ref="F174">_xlfn.IFS(E174="Bandung","BDG",E174="Surabaya","SBY",E174="Jakarta","JKT")</f>
        <v>SBY</v>
      </c>
      <c r="G174" s="27" t="s">
        <v>65</v>
      </c>
      <c r="H174" s="27" t="s">
        <v>287</v>
      </c>
      <c r="I174" s="27" t="s">
        <v>35</v>
      </c>
      <c r="J174" s="26">
        <v>43903</v>
      </c>
      <c r="K174" s="26">
        <v>43903</v>
      </c>
      <c r="L174" s="27">
        <f t="shared" si="14"/>
        <v>2</v>
      </c>
      <c r="M174" s="45">
        <v>936000</v>
      </c>
      <c r="N174" s="45">
        <v>2339850</v>
      </c>
      <c r="O174" s="27">
        <v>115</v>
      </c>
      <c r="P174" s="46">
        <f t="shared" si="15"/>
        <v>0.59997435733059812</v>
      </c>
      <c r="Q174" s="27">
        <v>24</v>
      </c>
      <c r="R174" s="44">
        <f t="shared" si="12"/>
        <v>56156400</v>
      </c>
      <c r="S174" s="29">
        <v>0.04</v>
      </c>
      <c r="T174" s="44">
        <f t="shared" si="16"/>
        <v>53910144</v>
      </c>
      <c r="U174" s="44">
        <f t="shared" si="17"/>
        <v>31446144</v>
      </c>
      <c r="V174" s="44"/>
    </row>
    <row r="175" spans="1:22" ht="14.5" x14ac:dyDescent="0.35">
      <c r="A175" s="47" t="str">
        <f t="shared" si="13"/>
        <v>BDG-RP-E1033-2016</v>
      </c>
      <c r="B175" s="26">
        <v>42651</v>
      </c>
      <c r="C175" s="42">
        <v>2016</v>
      </c>
      <c r="D175" s="27" t="s">
        <v>183</v>
      </c>
      <c r="E175" s="27" t="s">
        <v>136</v>
      </c>
      <c r="F175" s="42" t="str" cm="1">
        <f t="array" ref="F175">_xlfn.IFS(E175="Bandung","BDG",E175="Surabaya","SBY",E175="Jakarta","JKT")</f>
        <v>BDG</v>
      </c>
      <c r="G175" s="27" t="s">
        <v>60</v>
      </c>
      <c r="H175" s="27" t="s">
        <v>81</v>
      </c>
      <c r="I175" s="27" t="s">
        <v>39</v>
      </c>
      <c r="J175" s="26">
        <v>42623</v>
      </c>
      <c r="K175" s="26">
        <v>42652</v>
      </c>
      <c r="L175" s="27">
        <f t="shared" si="14"/>
        <v>1</v>
      </c>
      <c r="M175" s="45">
        <v>27300</v>
      </c>
      <c r="N175" s="45">
        <v>44700</v>
      </c>
      <c r="O175" s="27">
        <v>105</v>
      </c>
      <c r="P175" s="46">
        <f t="shared" si="15"/>
        <v>0.38926174496644295</v>
      </c>
      <c r="Q175" s="27">
        <v>3</v>
      </c>
      <c r="R175" s="44">
        <f t="shared" si="12"/>
        <v>134100</v>
      </c>
      <c r="S175" s="29">
        <v>0.09</v>
      </c>
      <c r="T175" s="44">
        <f t="shared" si="16"/>
        <v>122031</v>
      </c>
      <c r="U175" s="44">
        <f t="shared" si="17"/>
        <v>40131</v>
      </c>
      <c r="V175" s="44"/>
    </row>
    <row r="176" spans="1:22" ht="14.5" x14ac:dyDescent="0.35">
      <c r="A176" s="47" t="str">
        <f t="shared" si="13"/>
        <v>BDG-RP-E1033-2018</v>
      </c>
      <c r="B176" s="26">
        <v>43342</v>
      </c>
      <c r="C176" s="42">
        <v>2018</v>
      </c>
      <c r="D176" s="27" t="s">
        <v>183</v>
      </c>
      <c r="E176" s="27" t="s">
        <v>136</v>
      </c>
      <c r="F176" s="42" t="str" cm="1">
        <f t="array" ref="F176">_xlfn.IFS(E176="Bandung","BDG",E176="Surabaya","SBY",E176="Jakarta","JKT")</f>
        <v>BDG</v>
      </c>
      <c r="G176" s="27" t="s">
        <v>60</v>
      </c>
      <c r="H176" s="27" t="s">
        <v>58</v>
      </c>
      <c r="I176" s="27" t="s">
        <v>35</v>
      </c>
      <c r="J176" s="26">
        <v>43344</v>
      </c>
      <c r="K176" s="26">
        <v>43109</v>
      </c>
      <c r="L176" s="27">
        <f t="shared" si="14"/>
        <v>-233</v>
      </c>
      <c r="M176" s="45">
        <v>814350</v>
      </c>
      <c r="N176" s="45">
        <v>1357200</v>
      </c>
      <c r="O176" s="27">
        <v>161</v>
      </c>
      <c r="P176" s="46">
        <f t="shared" si="15"/>
        <v>0.39997789566755082</v>
      </c>
      <c r="Q176" s="27">
        <v>11</v>
      </c>
      <c r="R176" s="44">
        <f t="shared" si="12"/>
        <v>14929200</v>
      </c>
      <c r="S176" s="29">
        <v>0.04</v>
      </c>
      <c r="T176" s="44">
        <f t="shared" si="16"/>
        <v>14332032</v>
      </c>
      <c r="U176" s="44">
        <f t="shared" si="17"/>
        <v>5374182</v>
      </c>
      <c r="V176" s="44"/>
    </row>
    <row r="177" spans="1:22" ht="14.5" x14ac:dyDescent="0.35">
      <c r="A177" s="47" t="str">
        <f t="shared" si="13"/>
        <v>BDG-RP-E1033-2018</v>
      </c>
      <c r="B177" s="26">
        <v>43453</v>
      </c>
      <c r="C177" s="42">
        <v>2018</v>
      </c>
      <c r="D177" s="27" t="s">
        <v>183</v>
      </c>
      <c r="E177" s="27" t="s">
        <v>136</v>
      </c>
      <c r="F177" s="42" t="str" cm="1">
        <f t="array" ref="F177">_xlfn.IFS(E177="Bandung","BDG",E177="Surabaya","SBY",E177="Jakarta","JKT")</f>
        <v>BDG</v>
      </c>
      <c r="G177" s="27" t="s">
        <v>60</v>
      </c>
      <c r="H177" s="27" t="s">
        <v>154</v>
      </c>
      <c r="I177" s="27" t="s">
        <v>35</v>
      </c>
      <c r="J177" s="26">
        <v>43454</v>
      </c>
      <c r="K177" s="26">
        <v>43454</v>
      </c>
      <c r="L177" s="27">
        <f t="shared" si="14"/>
        <v>1</v>
      </c>
      <c r="M177" s="45">
        <v>908850</v>
      </c>
      <c r="N177" s="45">
        <v>1514700</v>
      </c>
      <c r="O177" s="27">
        <v>146</v>
      </c>
      <c r="P177" s="46">
        <f t="shared" si="15"/>
        <v>0.39998019409784114</v>
      </c>
      <c r="Q177" s="27">
        <v>44</v>
      </c>
      <c r="R177" s="44">
        <f t="shared" si="12"/>
        <v>66646800</v>
      </c>
      <c r="S177" s="29">
        <v>0.09</v>
      </c>
      <c r="T177" s="44">
        <f t="shared" si="16"/>
        <v>60648588</v>
      </c>
      <c r="U177" s="44">
        <f t="shared" si="17"/>
        <v>20659188</v>
      </c>
      <c r="V177" s="44"/>
    </row>
    <row r="178" spans="1:22" ht="14.5" x14ac:dyDescent="0.35">
      <c r="A178" s="47" t="str">
        <f t="shared" si="13"/>
        <v>BDG-RP-E1033-2019</v>
      </c>
      <c r="B178" s="26">
        <v>43700</v>
      </c>
      <c r="C178" s="42">
        <v>2019</v>
      </c>
      <c r="D178" s="27" t="s">
        <v>183</v>
      </c>
      <c r="E178" s="27" t="s">
        <v>136</v>
      </c>
      <c r="F178" s="42" t="str" cm="1">
        <f t="array" ref="F178">_xlfn.IFS(E178="Bandung","BDG",E178="Surabaya","SBY",E178="Jakarta","JKT")</f>
        <v>BDG</v>
      </c>
      <c r="G178" s="27" t="s">
        <v>60</v>
      </c>
      <c r="H178" s="27" t="s">
        <v>87</v>
      </c>
      <c r="I178" s="27" t="s">
        <v>35</v>
      </c>
      <c r="J178" s="26">
        <v>43702</v>
      </c>
      <c r="K178" s="26">
        <v>43702</v>
      </c>
      <c r="L178" s="27">
        <f t="shared" si="14"/>
        <v>2</v>
      </c>
      <c r="M178" s="45">
        <v>52800</v>
      </c>
      <c r="N178" s="45">
        <v>85200</v>
      </c>
      <c r="O178" s="27">
        <v>251</v>
      </c>
      <c r="P178" s="46">
        <f t="shared" si="15"/>
        <v>0.38028169014084506</v>
      </c>
      <c r="Q178" s="27">
        <v>34</v>
      </c>
      <c r="R178" s="44">
        <f t="shared" si="12"/>
        <v>2896800</v>
      </c>
      <c r="S178" s="29">
        <v>0.06</v>
      </c>
      <c r="T178" s="44">
        <f t="shared" si="16"/>
        <v>2722992</v>
      </c>
      <c r="U178" s="44">
        <f t="shared" si="17"/>
        <v>927792</v>
      </c>
      <c r="V178" s="44"/>
    </row>
    <row r="179" spans="1:22" ht="14.5" x14ac:dyDescent="0.35">
      <c r="A179" s="47" t="str">
        <f t="shared" si="13"/>
        <v>SBY-RF-E1030-2020</v>
      </c>
      <c r="B179" s="26">
        <v>43876</v>
      </c>
      <c r="C179" s="42">
        <v>2020</v>
      </c>
      <c r="D179" s="27" t="s">
        <v>715</v>
      </c>
      <c r="E179" s="27" t="s">
        <v>41</v>
      </c>
      <c r="F179" s="42" t="str" cm="1">
        <f t="array" ref="F179">_xlfn.IFS(E179="Bandung","BDG",E179="Surabaya","SBY",E179="Jakarta","JKT")</f>
        <v>SBY</v>
      </c>
      <c r="G179" s="27" t="s">
        <v>42</v>
      </c>
      <c r="H179" s="27" t="s">
        <v>269</v>
      </c>
      <c r="I179" s="27" t="s">
        <v>73</v>
      </c>
      <c r="J179" s="26" t="s">
        <v>1770</v>
      </c>
      <c r="K179" s="26">
        <v>43877</v>
      </c>
      <c r="L179" s="27">
        <f t="shared" si="14"/>
        <v>1</v>
      </c>
      <c r="M179" s="45">
        <v>37500</v>
      </c>
      <c r="N179" s="45">
        <v>85200</v>
      </c>
      <c r="O179" s="27">
        <v>221</v>
      </c>
      <c r="P179" s="46">
        <f t="shared" si="15"/>
        <v>0.5598591549295775</v>
      </c>
      <c r="Q179" s="27">
        <v>34</v>
      </c>
      <c r="R179" s="44">
        <f t="shared" si="12"/>
        <v>2896800</v>
      </c>
      <c r="S179" s="29">
        <v>0</v>
      </c>
      <c r="T179" s="44">
        <f t="shared" si="16"/>
        <v>2896800</v>
      </c>
      <c r="U179" s="44">
        <f t="shared" si="17"/>
        <v>1621800</v>
      </c>
      <c r="V179" s="44"/>
    </row>
    <row r="180" spans="1:22" ht="14.5" x14ac:dyDescent="0.35">
      <c r="A180" s="47" t="str">
        <f t="shared" si="13"/>
        <v>SBY-RA-E1035-2018</v>
      </c>
      <c r="B180" s="26">
        <v>43238</v>
      </c>
      <c r="C180" s="42">
        <v>2018</v>
      </c>
      <c r="D180" s="27" t="s">
        <v>539</v>
      </c>
      <c r="E180" s="27" t="s">
        <v>41</v>
      </c>
      <c r="F180" s="42" t="str" cm="1">
        <f t="array" ref="F180">_xlfn.IFS(E180="Bandung","BDG",E180="Surabaya","SBY",E180="Jakarta","JKT")</f>
        <v>SBY</v>
      </c>
      <c r="G180" s="27" t="s">
        <v>71</v>
      </c>
      <c r="H180" s="27" t="s">
        <v>119</v>
      </c>
      <c r="I180" s="27" t="s">
        <v>120</v>
      </c>
      <c r="J180" s="26">
        <v>43241</v>
      </c>
      <c r="K180" s="26">
        <v>43241</v>
      </c>
      <c r="L180" s="27">
        <f t="shared" si="14"/>
        <v>3</v>
      </c>
      <c r="M180" s="45">
        <v>132300</v>
      </c>
      <c r="N180" s="45">
        <v>314850</v>
      </c>
      <c r="O180" s="27">
        <v>280</v>
      </c>
      <c r="P180" s="46">
        <f t="shared" si="15"/>
        <v>0.57979990471653164</v>
      </c>
      <c r="Q180" s="27">
        <v>23</v>
      </c>
      <c r="R180" s="44">
        <f t="shared" si="12"/>
        <v>7241550</v>
      </c>
      <c r="S180" s="29">
        <v>0.1</v>
      </c>
      <c r="T180" s="44">
        <f t="shared" si="16"/>
        <v>6517395</v>
      </c>
      <c r="U180" s="44">
        <f t="shared" si="17"/>
        <v>3474495</v>
      </c>
      <c r="V180" s="44"/>
    </row>
    <row r="181" spans="1:22" ht="14.5" x14ac:dyDescent="0.35">
      <c r="A181" s="47" t="str">
        <f t="shared" si="13"/>
        <v>SBY-RS-E1039-2018</v>
      </c>
      <c r="B181" s="26">
        <v>43314</v>
      </c>
      <c r="C181" s="42">
        <v>2018</v>
      </c>
      <c r="D181" s="27" t="s">
        <v>573</v>
      </c>
      <c r="E181" s="27" t="s">
        <v>41</v>
      </c>
      <c r="F181" s="42" t="str" cm="1">
        <f t="array" ref="F181">_xlfn.IFS(E181="Bandung","BDG",E181="Surabaya","SBY",E181="Jakarta","JKT")</f>
        <v>SBY</v>
      </c>
      <c r="G181" s="27" t="s">
        <v>103</v>
      </c>
      <c r="H181" s="27" t="s">
        <v>212</v>
      </c>
      <c r="I181" s="27" t="s">
        <v>39</v>
      </c>
      <c r="J181" s="26">
        <v>43316</v>
      </c>
      <c r="K181" s="26">
        <v>43198</v>
      </c>
      <c r="L181" s="27">
        <f t="shared" si="14"/>
        <v>-116</v>
      </c>
      <c r="M181" s="45">
        <v>44700</v>
      </c>
      <c r="N181" s="45">
        <v>87600</v>
      </c>
      <c r="O181" s="27">
        <v>68</v>
      </c>
      <c r="P181" s="46">
        <f t="shared" si="15"/>
        <v>0.48972602739726029</v>
      </c>
      <c r="Q181" s="27">
        <v>12</v>
      </c>
      <c r="R181" s="44">
        <f t="shared" si="12"/>
        <v>1051200</v>
      </c>
      <c r="S181" s="29">
        <v>0.02</v>
      </c>
      <c r="T181" s="44">
        <f t="shared" si="16"/>
        <v>1030176</v>
      </c>
      <c r="U181" s="44">
        <f t="shared" si="17"/>
        <v>493776</v>
      </c>
      <c r="V181" s="44"/>
    </row>
    <row r="182" spans="1:22" ht="14.5" x14ac:dyDescent="0.35">
      <c r="A182" s="47" t="str">
        <f t="shared" si="13"/>
        <v>SBY-RJ-E1036-2017</v>
      </c>
      <c r="B182" s="26">
        <v>42865</v>
      </c>
      <c r="C182" s="42">
        <v>2017</v>
      </c>
      <c r="D182" s="27" t="s">
        <v>355</v>
      </c>
      <c r="E182" s="27" t="s">
        <v>41</v>
      </c>
      <c r="F182" s="42" t="str" cm="1">
        <f t="array" ref="F182">_xlfn.IFS(E182="Bandung","BDG",E182="Surabaya","SBY",E182="Jakarta","JKT")</f>
        <v>SBY</v>
      </c>
      <c r="G182" s="27" t="s">
        <v>78</v>
      </c>
      <c r="H182" s="27" t="s">
        <v>105</v>
      </c>
      <c r="I182" s="27" t="s">
        <v>35</v>
      </c>
      <c r="J182" s="26">
        <v>43044</v>
      </c>
      <c r="K182" s="26">
        <v>42866</v>
      </c>
      <c r="L182" s="27">
        <f t="shared" si="14"/>
        <v>1</v>
      </c>
      <c r="M182" s="45">
        <v>151050</v>
      </c>
      <c r="N182" s="45">
        <v>239700</v>
      </c>
      <c r="O182" s="27">
        <v>276</v>
      </c>
      <c r="P182" s="46">
        <f t="shared" si="15"/>
        <v>0.36983729662077597</v>
      </c>
      <c r="Q182" s="27">
        <v>8</v>
      </c>
      <c r="R182" s="44">
        <f t="shared" si="12"/>
        <v>1917600</v>
      </c>
      <c r="S182" s="29">
        <v>0.04</v>
      </c>
      <c r="T182" s="44">
        <f t="shared" si="16"/>
        <v>1840896</v>
      </c>
      <c r="U182" s="44">
        <f t="shared" si="17"/>
        <v>632496</v>
      </c>
      <c r="V182" s="44"/>
    </row>
    <row r="183" spans="1:22" ht="14.5" x14ac:dyDescent="0.35">
      <c r="A183" s="47" t="str">
        <f t="shared" si="13"/>
        <v>SBY-RH-E1034-2016</v>
      </c>
      <c r="B183" s="26">
        <v>42711</v>
      </c>
      <c r="C183" s="42">
        <v>2016</v>
      </c>
      <c r="D183" s="27" t="s">
        <v>252</v>
      </c>
      <c r="E183" s="27" t="s">
        <v>41</v>
      </c>
      <c r="F183" s="42" t="str" cm="1">
        <f t="array" ref="F183">_xlfn.IFS(E183="Bandung","BDG",E183="Surabaya","SBY",E183="Jakarta","JKT")</f>
        <v>SBY</v>
      </c>
      <c r="G183" s="27" t="s">
        <v>65</v>
      </c>
      <c r="H183" s="27" t="s">
        <v>138</v>
      </c>
      <c r="I183" s="27" t="s">
        <v>35</v>
      </c>
      <c r="J183" s="26">
        <v>42712</v>
      </c>
      <c r="K183" s="26">
        <v>42594</v>
      </c>
      <c r="L183" s="27">
        <f t="shared" si="14"/>
        <v>-117</v>
      </c>
      <c r="M183" s="45">
        <v>17700</v>
      </c>
      <c r="N183" s="45">
        <v>28200</v>
      </c>
      <c r="O183" s="27">
        <v>348</v>
      </c>
      <c r="P183" s="46">
        <f t="shared" si="15"/>
        <v>0.37234042553191488</v>
      </c>
      <c r="Q183" s="27">
        <v>42</v>
      </c>
      <c r="R183" s="44">
        <f t="shared" si="12"/>
        <v>1184400</v>
      </c>
      <c r="S183" s="29">
        <v>0</v>
      </c>
      <c r="T183" s="44">
        <f t="shared" si="16"/>
        <v>1184400</v>
      </c>
      <c r="U183" s="44">
        <f t="shared" si="17"/>
        <v>441000</v>
      </c>
      <c r="V183" s="44"/>
    </row>
    <row r="184" spans="1:22" ht="14.5" x14ac:dyDescent="0.35">
      <c r="A184" s="47" t="str">
        <f t="shared" si="13"/>
        <v>SBY-RH-E1034-2017</v>
      </c>
      <c r="B184" s="26">
        <v>43009</v>
      </c>
      <c r="C184" s="42">
        <v>2017</v>
      </c>
      <c r="D184" s="27" t="s">
        <v>252</v>
      </c>
      <c r="E184" s="27" t="s">
        <v>41</v>
      </c>
      <c r="F184" s="42" t="str" cm="1">
        <f t="array" ref="F184">_xlfn.IFS(E184="Bandung","BDG",E184="Surabaya","SBY",E184="Jakarta","JKT")</f>
        <v>SBY</v>
      </c>
      <c r="G184" s="27" t="s">
        <v>65</v>
      </c>
      <c r="H184" s="27" t="s">
        <v>54</v>
      </c>
      <c r="I184" s="27" t="s">
        <v>35</v>
      </c>
      <c r="J184" s="26">
        <v>42804</v>
      </c>
      <c r="K184" s="26">
        <v>43011</v>
      </c>
      <c r="L184" s="27">
        <f t="shared" si="14"/>
        <v>2</v>
      </c>
      <c r="M184" s="45">
        <v>1490850</v>
      </c>
      <c r="N184" s="45">
        <v>2443950</v>
      </c>
      <c r="O184" s="27">
        <v>229</v>
      </c>
      <c r="P184" s="46">
        <f t="shared" si="15"/>
        <v>0.38998342846621248</v>
      </c>
      <c r="Q184" s="27">
        <v>16</v>
      </c>
      <c r="R184" s="44">
        <f t="shared" si="12"/>
        <v>39103200</v>
      </c>
      <c r="S184" s="29">
        <v>0.1</v>
      </c>
      <c r="T184" s="44">
        <f t="shared" si="16"/>
        <v>35192880</v>
      </c>
      <c r="U184" s="44">
        <f t="shared" si="17"/>
        <v>11339280</v>
      </c>
      <c r="V184" s="44"/>
    </row>
    <row r="185" spans="1:22" ht="14.5" x14ac:dyDescent="0.35">
      <c r="A185" s="47" t="str">
        <f t="shared" si="13"/>
        <v>SBY-RB-E1039-2020</v>
      </c>
      <c r="B185" s="26">
        <v>43887</v>
      </c>
      <c r="C185" s="42">
        <v>2020</v>
      </c>
      <c r="D185" s="27" t="s">
        <v>720</v>
      </c>
      <c r="E185" s="27" t="s">
        <v>41</v>
      </c>
      <c r="F185" s="42" t="str" cm="1">
        <f t="array" ref="F185">_xlfn.IFS(E185="Bandung","BDG",E185="Surabaya","SBY",E185="Jakarta","JKT")</f>
        <v>SBY</v>
      </c>
      <c r="G185" s="27" t="s">
        <v>103</v>
      </c>
      <c r="H185" s="27" t="s">
        <v>191</v>
      </c>
      <c r="I185" s="27" t="s">
        <v>35</v>
      </c>
      <c r="J185" s="26">
        <v>43889</v>
      </c>
      <c r="K185" s="26">
        <v>43889</v>
      </c>
      <c r="L185" s="27">
        <f t="shared" si="14"/>
        <v>2</v>
      </c>
      <c r="M185" s="45">
        <v>29700</v>
      </c>
      <c r="N185" s="45">
        <v>47250</v>
      </c>
      <c r="O185" s="27">
        <v>151</v>
      </c>
      <c r="P185" s="46">
        <f t="shared" si="15"/>
        <v>0.37142857142857144</v>
      </c>
      <c r="Q185" s="27">
        <v>41</v>
      </c>
      <c r="R185" s="44">
        <f t="shared" si="12"/>
        <v>1937250</v>
      </c>
      <c r="S185" s="29">
        <v>0.06</v>
      </c>
      <c r="T185" s="44">
        <f t="shared" si="16"/>
        <v>1821015</v>
      </c>
      <c r="U185" s="44">
        <f t="shared" si="17"/>
        <v>603315</v>
      </c>
      <c r="V185" s="44"/>
    </row>
    <row r="186" spans="1:22" ht="14.5" x14ac:dyDescent="0.35">
      <c r="A186" s="47" t="str">
        <f t="shared" si="13"/>
        <v>SBY-RF-E1032-2018</v>
      </c>
      <c r="B186" s="26">
        <v>43113</v>
      </c>
      <c r="C186" s="42">
        <v>2018</v>
      </c>
      <c r="D186" s="27" t="s">
        <v>487</v>
      </c>
      <c r="E186" s="27" t="s">
        <v>41</v>
      </c>
      <c r="F186" s="42" t="str" cm="1">
        <f t="array" ref="F186">_xlfn.IFS(E186="Bandung","BDG",E186="Surabaya","SBY",E186="Jakarta","JKT")</f>
        <v>SBY</v>
      </c>
      <c r="G186" s="27" t="s">
        <v>53</v>
      </c>
      <c r="H186" s="27" t="s">
        <v>182</v>
      </c>
      <c r="I186" s="27" t="s">
        <v>39</v>
      </c>
      <c r="J186" s="26" t="s">
        <v>1648</v>
      </c>
      <c r="K186" s="26">
        <v>43114</v>
      </c>
      <c r="L186" s="27">
        <f t="shared" si="14"/>
        <v>1</v>
      </c>
      <c r="M186" s="45">
        <v>166650</v>
      </c>
      <c r="N186" s="45">
        <v>297600</v>
      </c>
      <c r="O186" s="27">
        <v>202</v>
      </c>
      <c r="P186" s="46">
        <f t="shared" si="15"/>
        <v>0.44002016129032256</v>
      </c>
      <c r="Q186" s="27">
        <v>15</v>
      </c>
      <c r="R186" s="44">
        <f t="shared" si="12"/>
        <v>4464000</v>
      </c>
      <c r="S186" s="29">
        <v>0</v>
      </c>
      <c r="T186" s="44">
        <f t="shared" si="16"/>
        <v>4464000</v>
      </c>
      <c r="U186" s="44">
        <f t="shared" si="17"/>
        <v>1964250</v>
      </c>
      <c r="V186" s="44"/>
    </row>
    <row r="187" spans="1:22" ht="14.5" x14ac:dyDescent="0.35">
      <c r="A187" s="47" t="str">
        <f t="shared" si="13"/>
        <v>SBY-RF-E1032-2018</v>
      </c>
      <c r="B187" s="26">
        <v>43161</v>
      </c>
      <c r="C187" s="42">
        <v>2018</v>
      </c>
      <c r="D187" s="27" t="s">
        <v>487</v>
      </c>
      <c r="E187" s="27" t="s">
        <v>41</v>
      </c>
      <c r="F187" s="42" t="str" cm="1">
        <f t="array" ref="F187">_xlfn.IFS(E187="Bandung","BDG",E187="Surabaya","SBY",E187="Jakarta","JKT")</f>
        <v>SBY</v>
      </c>
      <c r="G187" s="27" t="s">
        <v>53</v>
      </c>
      <c r="H187" s="27" t="s">
        <v>202</v>
      </c>
      <c r="I187" s="27" t="s">
        <v>39</v>
      </c>
      <c r="J187" s="26">
        <v>43193</v>
      </c>
      <c r="K187" s="26">
        <v>43163</v>
      </c>
      <c r="L187" s="27">
        <f t="shared" si="14"/>
        <v>2</v>
      </c>
      <c r="M187" s="45">
        <v>19650</v>
      </c>
      <c r="N187" s="45">
        <v>42600</v>
      </c>
      <c r="O187" s="27">
        <v>147</v>
      </c>
      <c r="P187" s="46">
        <f t="shared" si="15"/>
        <v>0.53873239436619713</v>
      </c>
      <c r="Q187" s="27">
        <v>12</v>
      </c>
      <c r="R187" s="44">
        <f t="shared" si="12"/>
        <v>511200</v>
      </c>
      <c r="S187" s="29">
        <v>0.1</v>
      </c>
      <c r="T187" s="44">
        <f t="shared" si="16"/>
        <v>460080</v>
      </c>
      <c r="U187" s="44">
        <f t="shared" si="17"/>
        <v>224280</v>
      </c>
      <c r="V187" s="44"/>
    </row>
    <row r="188" spans="1:22" ht="14.5" x14ac:dyDescent="0.35">
      <c r="A188" s="47" t="str">
        <f t="shared" si="13"/>
        <v>SBY-RM-E1036-2018</v>
      </c>
      <c r="B188" s="26">
        <v>43169</v>
      </c>
      <c r="C188" s="42">
        <v>2018</v>
      </c>
      <c r="D188" s="27" t="s">
        <v>511</v>
      </c>
      <c r="E188" s="27" t="s">
        <v>41</v>
      </c>
      <c r="F188" s="42" t="str" cm="1">
        <f t="array" ref="F188">_xlfn.IFS(E188="Bandung","BDG",E188="Surabaya","SBY",E188="Jakarta","JKT")</f>
        <v>SBY</v>
      </c>
      <c r="G188" s="27" t="s">
        <v>78</v>
      </c>
      <c r="H188" s="27" t="s">
        <v>105</v>
      </c>
      <c r="I188" s="27" t="s">
        <v>35</v>
      </c>
      <c r="J188" s="26">
        <v>43171</v>
      </c>
      <c r="K188" s="26">
        <v>43437</v>
      </c>
      <c r="L188" s="27">
        <f t="shared" si="14"/>
        <v>268</v>
      </c>
      <c r="M188" s="45">
        <v>124650.00000000001</v>
      </c>
      <c r="N188" s="45">
        <v>239700</v>
      </c>
      <c r="O188" s="27">
        <v>268</v>
      </c>
      <c r="P188" s="46">
        <f t="shared" si="15"/>
        <v>0.47997496871088857</v>
      </c>
      <c r="Q188" s="27">
        <v>5</v>
      </c>
      <c r="R188" s="44">
        <f t="shared" si="12"/>
        <v>1198500</v>
      </c>
      <c r="S188" s="29">
        <v>0.08</v>
      </c>
      <c r="T188" s="44">
        <f t="shared" si="16"/>
        <v>1102620</v>
      </c>
      <c r="U188" s="44">
        <f t="shared" si="17"/>
        <v>479369.99999999988</v>
      </c>
      <c r="V188" s="44"/>
    </row>
    <row r="189" spans="1:22" ht="14.5" x14ac:dyDescent="0.35">
      <c r="A189" s="47" t="str">
        <f t="shared" si="13"/>
        <v>SBY-RM-E1036-2018</v>
      </c>
      <c r="B189" s="26">
        <v>43348</v>
      </c>
      <c r="C189" s="42">
        <v>2018</v>
      </c>
      <c r="D189" s="27" t="s">
        <v>511</v>
      </c>
      <c r="E189" s="27" t="s">
        <v>41</v>
      </c>
      <c r="F189" s="42" t="str" cm="1">
        <f t="array" ref="F189">_xlfn.IFS(E189="Bandung","BDG",E189="Surabaya","SBY",E189="Jakarta","JKT")</f>
        <v>SBY</v>
      </c>
      <c r="G189" s="27" t="s">
        <v>78</v>
      </c>
      <c r="H189" s="27" t="s">
        <v>49</v>
      </c>
      <c r="I189" s="27" t="s">
        <v>39</v>
      </c>
      <c r="J189" s="26">
        <v>43349</v>
      </c>
      <c r="K189" s="26">
        <v>43260</v>
      </c>
      <c r="L189" s="27">
        <f t="shared" si="14"/>
        <v>-88</v>
      </c>
      <c r="M189" s="45">
        <v>13500</v>
      </c>
      <c r="N189" s="45">
        <v>31500</v>
      </c>
      <c r="O189" s="27">
        <v>151</v>
      </c>
      <c r="P189" s="46">
        <f t="shared" si="15"/>
        <v>0.5714285714285714</v>
      </c>
      <c r="Q189" s="27">
        <v>17</v>
      </c>
      <c r="R189" s="44">
        <f t="shared" si="12"/>
        <v>535500</v>
      </c>
      <c r="S189" s="29">
        <v>0.09</v>
      </c>
      <c r="T189" s="44">
        <f t="shared" si="16"/>
        <v>487305</v>
      </c>
      <c r="U189" s="44">
        <f t="shared" si="17"/>
        <v>257805</v>
      </c>
      <c r="V189" s="44"/>
    </row>
    <row r="190" spans="1:22" ht="14.5" x14ac:dyDescent="0.35">
      <c r="A190" s="47" t="str">
        <f t="shared" si="13"/>
        <v>SBY-RL-E1036-2017</v>
      </c>
      <c r="B190" s="26">
        <v>42965</v>
      </c>
      <c r="C190" s="42">
        <v>2017</v>
      </c>
      <c r="D190" s="27" t="s">
        <v>413</v>
      </c>
      <c r="E190" s="27" t="s">
        <v>41</v>
      </c>
      <c r="F190" s="42" t="str" cm="1">
        <f t="array" ref="F190">_xlfn.IFS(E190="Bandung","BDG",E190="Surabaya","SBY",E190="Jakarta","JKT")</f>
        <v>SBY</v>
      </c>
      <c r="G190" s="27" t="s">
        <v>78</v>
      </c>
      <c r="H190" s="27" t="s">
        <v>229</v>
      </c>
      <c r="I190" s="27" t="s">
        <v>35</v>
      </c>
      <c r="J190" s="26">
        <v>42967</v>
      </c>
      <c r="K190" s="26">
        <v>42967</v>
      </c>
      <c r="L190" s="27">
        <f t="shared" si="14"/>
        <v>2</v>
      </c>
      <c r="M190" s="45">
        <v>33900</v>
      </c>
      <c r="N190" s="45">
        <v>53700</v>
      </c>
      <c r="O190" s="27">
        <v>224</v>
      </c>
      <c r="P190" s="46">
        <f t="shared" si="15"/>
        <v>0.36871508379888268</v>
      </c>
      <c r="Q190" s="27">
        <v>25</v>
      </c>
      <c r="R190" s="44">
        <f t="shared" si="12"/>
        <v>1342500</v>
      </c>
      <c r="S190" s="29">
        <v>0</v>
      </c>
      <c r="T190" s="44">
        <f t="shared" si="16"/>
        <v>1342500</v>
      </c>
      <c r="U190" s="44">
        <f t="shared" si="17"/>
        <v>495000</v>
      </c>
      <c r="V190" s="44"/>
    </row>
    <row r="191" spans="1:22" ht="14.5" x14ac:dyDescent="0.35">
      <c r="A191" s="47" t="str">
        <f t="shared" si="13"/>
        <v>SBY-RL-E1036-2017</v>
      </c>
      <c r="B191" s="26">
        <v>42965</v>
      </c>
      <c r="C191" s="42">
        <v>2017</v>
      </c>
      <c r="D191" s="27" t="s">
        <v>413</v>
      </c>
      <c r="E191" s="27" t="s">
        <v>41</v>
      </c>
      <c r="F191" s="42" t="str" cm="1">
        <f t="array" ref="F191">_xlfn.IFS(E191="Bandung","BDG",E191="Surabaya","SBY",E191="Jakarta","JKT")</f>
        <v>SBY</v>
      </c>
      <c r="G191" s="27" t="s">
        <v>78</v>
      </c>
      <c r="H191" s="27" t="s">
        <v>414</v>
      </c>
      <c r="I191" s="27" t="s">
        <v>39</v>
      </c>
      <c r="J191" s="26">
        <v>42967</v>
      </c>
      <c r="K191" s="26">
        <v>42967</v>
      </c>
      <c r="L191" s="27">
        <f t="shared" si="14"/>
        <v>2</v>
      </c>
      <c r="M191" s="45">
        <v>13050</v>
      </c>
      <c r="N191" s="45">
        <v>27150</v>
      </c>
      <c r="O191" s="27">
        <v>169</v>
      </c>
      <c r="P191" s="46">
        <f t="shared" si="15"/>
        <v>0.51933701657458564</v>
      </c>
      <c r="Q191" s="27">
        <v>45</v>
      </c>
      <c r="R191" s="44">
        <f t="shared" si="12"/>
        <v>1221750</v>
      </c>
      <c r="S191" s="29">
        <v>0.08</v>
      </c>
      <c r="T191" s="44">
        <f t="shared" si="16"/>
        <v>1124010</v>
      </c>
      <c r="U191" s="44">
        <f t="shared" si="17"/>
        <v>536760</v>
      </c>
      <c r="V191" s="44"/>
    </row>
    <row r="192" spans="1:22" ht="14.5" x14ac:dyDescent="0.35">
      <c r="A192" s="47" t="str">
        <f t="shared" si="13"/>
        <v>SBY-RP-E1041-2017</v>
      </c>
      <c r="B192" s="26">
        <v>42984</v>
      </c>
      <c r="C192" s="42">
        <v>2017</v>
      </c>
      <c r="D192" s="27" t="s">
        <v>421</v>
      </c>
      <c r="E192" s="27" t="s">
        <v>41</v>
      </c>
      <c r="F192" s="42" t="str" cm="1">
        <f t="array" ref="F192">_xlfn.IFS(E192="Bandung","BDG",E192="Surabaya","SBY",E192="Jakarta","JKT")</f>
        <v>SBY</v>
      </c>
      <c r="G192" s="27" t="s">
        <v>166</v>
      </c>
      <c r="H192" s="27" t="s">
        <v>209</v>
      </c>
      <c r="I192" s="27" t="s">
        <v>46</v>
      </c>
      <c r="J192" s="26">
        <v>43017</v>
      </c>
      <c r="K192" s="26">
        <v>42988</v>
      </c>
      <c r="L192" s="27">
        <f t="shared" si="14"/>
        <v>4</v>
      </c>
      <c r="M192" s="45">
        <v>4184850</v>
      </c>
      <c r="N192" s="45">
        <v>6749850</v>
      </c>
      <c r="O192" s="27">
        <v>393</v>
      </c>
      <c r="P192" s="46">
        <f t="shared" si="15"/>
        <v>0.38000844463210293</v>
      </c>
      <c r="Q192" s="27">
        <v>47</v>
      </c>
      <c r="R192" s="44">
        <f t="shared" si="12"/>
        <v>317242950</v>
      </c>
      <c r="S192" s="29">
        <v>0.1</v>
      </c>
      <c r="T192" s="44">
        <f t="shared" si="16"/>
        <v>285518655</v>
      </c>
      <c r="U192" s="44">
        <f t="shared" si="17"/>
        <v>88830705</v>
      </c>
      <c r="V192" s="44"/>
    </row>
    <row r="193" spans="1:22" ht="14.5" x14ac:dyDescent="0.35">
      <c r="A193" s="47" t="str">
        <f t="shared" si="13"/>
        <v>SBY-RP-E1041-2019</v>
      </c>
      <c r="B193" s="26">
        <v>43490</v>
      </c>
      <c r="C193" s="42">
        <v>2019</v>
      </c>
      <c r="D193" s="27" t="s">
        <v>421</v>
      </c>
      <c r="E193" s="27" t="s">
        <v>41</v>
      </c>
      <c r="F193" s="42" t="str" cm="1">
        <f t="array" ref="F193">_xlfn.IFS(E193="Bandung","BDG",E193="Surabaya","SBY",E193="Jakarta","JKT")</f>
        <v>SBY</v>
      </c>
      <c r="G193" s="27" t="s">
        <v>166</v>
      </c>
      <c r="H193" s="27" t="s">
        <v>209</v>
      </c>
      <c r="I193" s="27" t="s">
        <v>46</v>
      </c>
      <c r="J193" s="26" t="s">
        <v>1717</v>
      </c>
      <c r="K193" s="26">
        <v>43492</v>
      </c>
      <c r="L193" s="27">
        <f t="shared" si="14"/>
        <v>2</v>
      </c>
      <c r="M193" s="45">
        <v>4184850</v>
      </c>
      <c r="N193" s="45">
        <v>6749850</v>
      </c>
      <c r="O193" s="27">
        <v>346</v>
      </c>
      <c r="P193" s="46">
        <f t="shared" si="15"/>
        <v>0.38000844463210293</v>
      </c>
      <c r="Q193" s="27">
        <v>47</v>
      </c>
      <c r="R193" s="44">
        <f t="shared" si="12"/>
        <v>317242950</v>
      </c>
      <c r="S193" s="29">
        <v>0.02</v>
      </c>
      <c r="T193" s="44">
        <f t="shared" si="16"/>
        <v>310898091</v>
      </c>
      <c r="U193" s="44">
        <f t="shared" si="17"/>
        <v>114210141</v>
      </c>
      <c r="V193" s="44"/>
    </row>
    <row r="194" spans="1:22" ht="14.5" x14ac:dyDescent="0.35">
      <c r="A194" s="47" t="str">
        <f t="shared" si="13"/>
        <v>JKT-RP-E1028-2017</v>
      </c>
      <c r="B194" s="26">
        <v>42946</v>
      </c>
      <c r="C194" s="42">
        <v>2017</v>
      </c>
      <c r="D194" s="27" t="s">
        <v>407</v>
      </c>
      <c r="E194" s="27" t="s">
        <v>32</v>
      </c>
      <c r="F194" s="42" t="str" cm="1">
        <f t="array" ref="F194">_xlfn.IFS(E194="Bandung","BDG",E194="Surabaya","SBY",E194="Jakarta","JKT")</f>
        <v>JKT</v>
      </c>
      <c r="G194" s="27" t="s">
        <v>33</v>
      </c>
      <c r="H194" s="27" t="s">
        <v>376</v>
      </c>
      <c r="I194" s="27" t="s">
        <v>73</v>
      </c>
      <c r="J194" s="26">
        <v>42947</v>
      </c>
      <c r="K194" s="26">
        <v>42947</v>
      </c>
      <c r="L194" s="27">
        <f t="shared" si="14"/>
        <v>1</v>
      </c>
      <c r="M194" s="45">
        <v>62850.000000000007</v>
      </c>
      <c r="N194" s="45">
        <v>153450</v>
      </c>
      <c r="O194" s="27">
        <v>257</v>
      </c>
      <c r="P194" s="46">
        <f t="shared" si="15"/>
        <v>0.59042033235581626</v>
      </c>
      <c r="Q194" s="27">
        <v>22</v>
      </c>
      <c r="R194" s="44">
        <f t="shared" si="12"/>
        <v>3375900</v>
      </c>
      <c r="S194" s="29">
        <v>7.0000000000000007E-2</v>
      </c>
      <c r="T194" s="44">
        <f t="shared" si="16"/>
        <v>3139587</v>
      </c>
      <c r="U194" s="44">
        <f t="shared" si="17"/>
        <v>1756886.9999999998</v>
      </c>
      <c r="V194" s="44"/>
    </row>
    <row r="195" spans="1:22" ht="14.5" x14ac:dyDescent="0.35">
      <c r="A195" s="47" t="str">
        <f t="shared" si="13"/>
        <v>JKT-RP-E1028-2019</v>
      </c>
      <c r="B195" s="26">
        <v>43784</v>
      </c>
      <c r="C195" s="42">
        <v>2019</v>
      </c>
      <c r="D195" s="27" t="s">
        <v>407</v>
      </c>
      <c r="E195" s="27" t="s">
        <v>32</v>
      </c>
      <c r="F195" s="42" t="str" cm="1">
        <f t="array" ref="F195">_xlfn.IFS(E195="Bandung","BDG",E195="Surabaya","SBY",E195="Jakarta","JKT")</f>
        <v>JKT</v>
      </c>
      <c r="G195" s="27" t="s">
        <v>33</v>
      </c>
      <c r="H195" s="27" t="s">
        <v>168</v>
      </c>
      <c r="I195" s="27" t="s">
        <v>35</v>
      </c>
      <c r="J195" s="26">
        <v>43786</v>
      </c>
      <c r="K195" s="26">
        <v>43786</v>
      </c>
      <c r="L195" s="27">
        <f t="shared" si="14"/>
        <v>2</v>
      </c>
      <c r="M195" s="45">
        <v>2682450</v>
      </c>
      <c r="N195" s="45">
        <v>6238200</v>
      </c>
      <c r="O195" s="27">
        <v>87</v>
      </c>
      <c r="P195" s="46">
        <f t="shared" si="15"/>
        <v>0.56999615273636628</v>
      </c>
      <c r="Q195" s="27">
        <v>4</v>
      </c>
      <c r="R195" s="44">
        <f t="shared" si="12"/>
        <v>24952800</v>
      </c>
      <c r="S195" s="29">
        <v>0.04</v>
      </c>
      <c r="T195" s="44">
        <f t="shared" si="16"/>
        <v>23954688</v>
      </c>
      <c r="U195" s="44">
        <f t="shared" si="17"/>
        <v>13224888</v>
      </c>
      <c r="V195" s="44"/>
    </row>
    <row r="196" spans="1:22" ht="14.5" x14ac:dyDescent="0.35">
      <c r="A196" s="47" t="str">
        <f t="shared" si="13"/>
        <v>SBY-RH-E1037-2018</v>
      </c>
      <c r="B196" s="26">
        <v>43265</v>
      </c>
      <c r="C196" s="42">
        <v>2018</v>
      </c>
      <c r="D196" s="27" t="s">
        <v>551</v>
      </c>
      <c r="E196" s="27" t="s">
        <v>41</v>
      </c>
      <c r="F196" s="42" t="str" cm="1">
        <f t="array" ref="F196">_xlfn.IFS(E196="Bandung","BDG",E196="Surabaya","SBY",E196="Jakarta","JKT")</f>
        <v>SBY</v>
      </c>
      <c r="G196" s="27" t="s">
        <v>83</v>
      </c>
      <c r="H196" s="27" t="s">
        <v>552</v>
      </c>
      <c r="I196" s="27" t="s">
        <v>35</v>
      </c>
      <c r="J196" s="26" t="s">
        <v>1674</v>
      </c>
      <c r="K196" s="26">
        <v>43266</v>
      </c>
      <c r="L196" s="27">
        <f t="shared" si="14"/>
        <v>1</v>
      </c>
      <c r="M196" s="45">
        <v>59850</v>
      </c>
      <c r="N196" s="45">
        <v>93450</v>
      </c>
      <c r="O196" s="27">
        <v>58</v>
      </c>
      <c r="P196" s="46">
        <f t="shared" si="15"/>
        <v>0.3595505617977528</v>
      </c>
      <c r="Q196" s="27">
        <v>4</v>
      </c>
      <c r="R196" s="44">
        <f t="shared" ref="R196:R259" si="18">N196*Q196</f>
        <v>373800</v>
      </c>
      <c r="S196" s="29">
        <v>0.1</v>
      </c>
      <c r="T196" s="44">
        <f t="shared" si="16"/>
        <v>336420</v>
      </c>
      <c r="U196" s="44">
        <f t="shared" si="17"/>
        <v>97020</v>
      </c>
      <c r="V196" s="44"/>
    </row>
    <row r="197" spans="1:22" ht="14.5" x14ac:dyDescent="0.35">
      <c r="A197" s="47" t="str">
        <f t="shared" ref="A197:A260" si="19">_xlfn.CONCAT(F197,"-",LEFT(D197,1),MID(D197,FIND(" ",D197)+1,1),"-",G197,"-",C197)</f>
        <v>SBY-RY-E1037-2019</v>
      </c>
      <c r="B197" s="26">
        <v>43717</v>
      </c>
      <c r="C197" s="42">
        <v>2019</v>
      </c>
      <c r="D197" s="27" t="s">
        <v>690</v>
      </c>
      <c r="E197" s="27" t="s">
        <v>41</v>
      </c>
      <c r="F197" s="42" t="str" cm="1">
        <f t="array" ref="F197">_xlfn.IFS(E197="Bandung","BDG",E197="Surabaya","SBY",E197="Jakarta","JKT")</f>
        <v>SBY</v>
      </c>
      <c r="G197" s="27" t="s">
        <v>83</v>
      </c>
      <c r="H197" s="27" t="s">
        <v>61</v>
      </c>
      <c r="I197" s="27" t="s">
        <v>35</v>
      </c>
      <c r="J197" s="26">
        <v>43717</v>
      </c>
      <c r="K197" s="26">
        <v>43717</v>
      </c>
      <c r="L197" s="27">
        <f t="shared" ref="L197:L260" si="20">K197-B197</f>
        <v>0</v>
      </c>
      <c r="M197" s="45">
        <v>79950</v>
      </c>
      <c r="N197" s="45">
        <v>129000</v>
      </c>
      <c r="O197" s="27">
        <v>174</v>
      </c>
      <c r="P197" s="46">
        <f t="shared" ref="P197:P260" si="21">(N197-M197)/N197</f>
        <v>0.38023255813953488</v>
      </c>
      <c r="Q197" s="27">
        <v>1</v>
      </c>
      <c r="R197" s="44">
        <f t="shared" si="18"/>
        <v>129000</v>
      </c>
      <c r="S197" s="29">
        <v>0.06</v>
      </c>
      <c r="T197" s="44">
        <f t="shared" ref="T197:T260" si="22">R197*(1-S197)</f>
        <v>121260</v>
      </c>
      <c r="U197" s="44">
        <f t="shared" ref="U197:U260" si="23">T197-(M197*Q197)</f>
        <v>41310</v>
      </c>
      <c r="V197" s="44"/>
    </row>
    <row r="198" spans="1:22" ht="14.5" x14ac:dyDescent="0.35">
      <c r="A198" s="47" t="str">
        <f t="shared" si="19"/>
        <v>SBY-RP-E1036-2019</v>
      </c>
      <c r="B198" s="26">
        <v>43486</v>
      </c>
      <c r="C198" s="42">
        <v>2019</v>
      </c>
      <c r="D198" s="27" t="s">
        <v>632</v>
      </c>
      <c r="E198" s="27" t="s">
        <v>41</v>
      </c>
      <c r="F198" s="42" t="str" cm="1">
        <f t="array" ref="F198">_xlfn.IFS(E198="Bandung","BDG",E198="Surabaya","SBY",E198="Jakarta","JKT")</f>
        <v>SBY</v>
      </c>
      <c r="G198" s="27" t="s">
        <v>78</v>
      </c>
      <c r="H198" s="27" t="s">
        <v>402</v>
      </c>
      <c r="I198" s="27" t="s">
        <v>46</v>
      </c>
      <c r="J198" s="26" t="s">
        <v>1716</v>
      </c>
      <c r="K198" s="26">
        <v>43488</v>
      </c>
      <c r="L198" s="27">
        <f t="shared" si="20"/>
        <v>2</v>
      </c>
      <c r="M198" s="45">
        <v>4734150</v>
      </c>
      <c r="N198" s="45">
        <v>7514550</v>
      </c>
      <c r="O198" s="27">
        <v>140</v>
      </c>
      <c r="P198" s="46">
        <f t="shared" si="21"/>
        <v>0.37000219574026388</v>
      </c>
      <c r="Q198" s="27">
        <v>25</v>
      </c>
      <c r="R198" s="44">
        <f t="shared" si="18"/>
        <v>187863750</v>
      </c>
      <c r="S198" s="29">
        <v>0.02</v>
      </c>
      <c r="T198" s="44">
        <f t="shared" si="22"/>
        <v>184106475</v>
      </c>
      <c r="U198" s="44">
        <f t="shared" si="23"/>
        <v>65752725</v>
      </c>
      <c r="V198" s="44"/>
    </row>
    <row r="199" spans="1:22" ht="14.5" x14ac:dyDescent="0.35">
      <c r="A199" s="47" t="str">
        <f t="shared" si="19"/>
        <v>JKT-RN-E1029-2017</v>
      </c>
      <c r="B199" s="26">
        <v>42865</v>
      </c>
      <c r="C199" s="42">
        <v>2017</v>
      </c>
      <c r="D199" s="27" t="s">
        <v>354</v>
      </c>
      <c r="E199" s="27" t="s">
        <v>32</v>
      </c>
      <c r="F199" s="42" t="str" cm="1">
        <f t="array" ref="F199">_xlfn.IFS(E199="Bandung","BDG",E199="Surabaya","SBY",E199="Jakarta","JKT")</f>
        <v>JKT</v>
      </c>
      <c r="G199" s="27" t="s">
        <v>37</v>
      </c>
      <c r="H199" s="27" t="s">
        <v>132</v>
      </c>
      <c r="I199" s="27" t="s">
        <v>73</v>
      </c>
      <c r="J199" s="26" t="s">
        <v>1607</v>
      </c>
      <c r="K199" s="26">
        <v>42872</v>
      </c>
      <c r="L199" s="27">
        <f t="shared" si="20"/>
        <v>7</v>
      </c>
      <c r="M199" s="45">
        <v>82500</v>
      </c>
      <c r="N199" s="45">
        <v>183300</v>
      </c>
      <c r="O199" s="27">
        <v>98</v>
      </c>
      <c r="P199" s="46">
        <f t="shared" si="21"/>
        <v>0.54991816693944351</v>
      </c>
      <c r="Q199" s="27">
        <v>19</v>
      </c>
      <c r="R199" s="44">
        <f t="shared" si="18"/>
        <v>3482700</v>
      </c>
      <c r="S199" s="29">
        <v>0.09</v>
      </c>
      <c r="T199" s="44">
        <f t="shared" si="22"/>
        <v>3169257</v>
      </c>
      <c r="U199" s="44">
        <f t="shared" si="23"/>
        <v>1601757</v>
      </c>
      <c r="V199" s="44"/>
    </row>
    <row r="200" spans="1:22" ht="14.5" x14ac:dyDescent="0.35">
      <c r="A200" s="47" t="str">
        <f t="shared" si="19"/>
        <v>SBY-RS-E1036-2019</v>
      </c>
      <c r="B200" s="26">
        <v>43659</v>
      </c>
      <c r="C200" s="42">
        <v>2019</v>
      </c>
      <c r="D200" s="27" t="s">
        <v>673</v>
      </c>
      <c r="E200" s="27" t="s">
        <v>41</v>
      </c>
      <c r="F200" s="42" t="str" cm="1">
        <f t="array" ref="F200">_xlfn.IFS(E200="Bandung","BDG",E200="Surabaya","SBY",E200="Jakarta","JKT")</f>
        <v>SBY</v>
      </c>
      <c r="G200" s="27" t="s">
        <v>78</v>
      </c>
      <c r="H200" s="27" t="s">
        <v>89</v>
      </c>
      <c r="I200" s="27" t="s">
        <v>73</v>
      </c>
      <c r="J200" s="26">
        <v>43660</v>
      </c>
      <c r="K200" s="26">
        <v>43660</v>
      </c>
      <c r="L200" s="27">
        <f t="shared" si="20"/>
        <v>1</v>
      </c>
      <c r="M200" s="45">
        <v>14100</v>
      </c>
      <c r="N200" s="45">
        <v>31200</v>
      </c>
      <c r="O200" s="27">
        <v>193</v>
      </c>
      <c r="P200" s="46">
        <f t="shared" si="21"/>
        <v>0.54807692307692313</v>
      </c>
      <c r="Q200" s="27">
        <v>2</v>
      </c>
      <c r="R200" s="44">
        <f t="shared" si="18"/>
        <v>62400</v>
      </c>
      <c r="S200" s="29">
        <v>0.01</v>
      </c>
      <c r="T200" s="44">
        <f t="shared" si="22"/>
        <v>61776</v>
      </c>
      <c r="U200" s="44">
        <f t="shared" si="23"/>
        <v>33576</v>
      </c>
      <c r="V200" s="44"/>
    </row>
    <row r="201" spans="1:22" ht="14.5" x14ac:dyDescent="0.35">
      <c r="A201" s="47" t="str">
        <f t="shared" si="19"/>
        <v>SBY-RS-E1030-2016</v>
      </c>
      <c r="B201" s="26">
        <v>42517</v>
      </c>
      <c r="C201" s="42">
        <v>2016</v>
      </c>
      <c r="D201" s="27" t="s">
        <v>40</v>
      </c>
      <c r="E201" s="27" t="s">
        <v>41</v>
      </c>
      <c r="F201" s="42" t="str" cm="1">
        <f t="array" ref="F201">_xlfn.IFS(E201="Bandung","BDG",E201="Surabaya","SBY",E201="Jakarta","JKT")</f>
        <v>SBY</v>
      </c>
      <c r="G201" s="27" t="s">
        <v>42</v>
      </c>
      <c r="H201" s="27" t="s">
        <v>43</v>
      </c>
      <c r="I201" s="27" t="s">
        <v>39</v>
      </c>
      <c r="J201" s="26" t="s">
        <v>1554</v>
      </c>
      <c r="K201" s="26">
        <v>42519</v>
      </c>
      <c r="L201" s="27">
        <f t="shared" si="20"/>
        <v>2</v>
      </c>
      <c r="M201" s="45">
        <v>36150</v>
      </c>
      <c r="N201" s="45">
        <v>55650</v>
      </c>
      <c r="O201" s="27">
        <v>110</v>
      </c>
      <c r="P201" s="46">
        <f t="shared" si="21"/>
        <v>0.35040431266846361</v>
      </c>
      <c r="Q201" s="27">
        <v>42</v>
      </c>
      <c r="R201" s="44">
        <f t="shared" si="18"/>
        <v>2337300</v>
      </c>
      <c r="S201" s="29">
        <v>7.0000000000000007E-2</v>
      </c>
      <c r="T201" s="44">
        <f t="shared" si="22"/>
        <v>2173689</v>
      </c>
      <c r="U201" s="44">
        <f t="shared" si="23"/>
        <v>655389</v>
      </c>
      <c r="V201" s="44"/>
    </row>
    <row r="202" spans="1:22" ht="14.5" x14ac:dyDescent="0.35">
      <c r="A202" s="47" t="str">
        <f t="shared" si="19"/>
        <v>JKT-RR-E1028-2017</v>
      </c>
      <c r="B202" s="26">
        <v>42824</v>
      </c>
      <c r="C202" s="42">
        <v>2017</v>
      </c>
      <c r="D202" s="27" t="s">
        <v>332</v>
      </c>
      <c r="E202" s="27" t="s">
        <v>32</v>
      </c>
      <c r="F202" s="42" t="str" cm="1">
        <f t="array" ref="F202">_xlfn.IFS(E202="Bandung","BDG",E202="Surabaya","SBY",E202="Jakarta","JKT")</f>
        <v>JKT</v>
      </c>
      <c r="G202" s="27" t="s">
        <v>33</v>
      </c>
      <c r="H202" s="27" t="s">
        <v>303</v>
      </c>
      <c r="I202" s="27" t="s">
        <v>35</v>
      </c>
      <c r="J202" s="26">
        <v>42827</v>
      </c>
      <c r="K202" s="26">
        <v>42770</v>
      </c>
      <c r="L202" s="27">
        <f t="shared" si="20"/>
        <v>-54</v>
      </c>
      <c r="M202" s="45">
        <v>34350</v>
      </c>
      <c r="N202" s="45">
        <v>55350</v>
      </c>
      <c r="O202" s="27">
        <v>279</v>
      </c>
      <c r="P202" s="46">
        <f t="shared" si="21"/>
        <v>0.37940379403794039</v>
      </c>
      <c r="Q202" s="27">
        <v>45</v>
      </c>
      <c r="R202" s="44">
        <f t="shared" si="18"/>
        <v>2490750</v>
      </c>
      <c r="S202" s="29">
        <v>0.08</v>
      </c>
      <c r="T202" s="44">
        <f t="shared" si="22"/>
        <v>2291490</v>
      </c>
      <c r="U202" s="44">
        <f t="shared" si="23"/>
        <v>745740</v>
      </c>
      <c r="V202" s="44"/>
    </row>
    <row r="203" spans="1:22" ht="14.5" x14ac:dyDescent="0.35">
      <c r="A203" s="47" t="str">
        <f t="shared" si="19"/>
        <v>JKT-RR-E1028-2019</v>
      </c>
      <c r="B203" s="26">
        <v>43532</v>
      </c>
      <c r="C203" s="42">
        <v>2019</v>
      </c>
      <c r="D203" s="27" t="s">
        <v>332</v>
      </c>
      <c r="E203" s="27" t="s">
        <v>32</v>
      </c>
      <c r="F203" s="42" t="str" cm="1">
        <f t="array" ref="F203">_xlfn.IFS(E203="Bandung","BDG",E203="Surabaya","SBY",E203="Jakarta","JKT")</f>
        <v>JKT</v>
      </c>
      <c r="G203" s="27" t="s">
        <v>33</v>
      </c>
      <c r="H203" s="27" t="s">
        <v>101</v>
      </c>
      <c r="I203" s="27" t="s">
        <v>35</v>
      </c>
      <c r="J203" s="26">
        <v>43680</v>
      </c>
      <c r="K203" s="26">
        <v>43532</v>
      </c>
      <c r="L203" s="27">
        <f t="shared" si="20"/>
        <v>0</v>
      </c>
      <c r="M203" s="45">
        <v>594600</v>
      </c>
      <c r="N203" s="45">
        <v>2287200</v>
      </c>
      <c r="O203" s="27">
        <v>344</v>
      </c>
      <c r="P203" s="46">
        <f t="shared" si="21"/>
        <v>0.74003147953830006</v>
      </c>
      <c r="Q203" s="27">
        <v>17</v>
      </c>
      <c r="R203" s="44">
        <f t="shared" si="18"/>
        <v>38882400</v>
      </c>
      <c r="S203" s="29">
        <v>0.04</v>
      </c>
      <c r="T203" s="44">
        <f t="shared" si="22"/>
        <v>37327104</v>
      </c>
      <c r="U203" s="44">
        <f t="shared" si="23"/>
        <v>27218904</v>
      </c>
      <c r="V203" s="44"/>
    </row>
    <row r="204" spans="1:22" ht="14.5" x14ac:dyDescent="0.35">
      <c r="A204" s="47" t="str">
        <f t="shared" si="19"/>
        <v>JKT-RR-E1028-2019</v>
      </c>
      <c r="B204" s="26">
        <v>43806</v>
      </c>
      <c r="C204" s="42">
        <v>2019</v>
      </c>
      <c r="D204" s="27" t="s">
        <v>332</v>
      </c>
      <c r="E204" s="27" t="s">
        <v>32</v>
      </c>
      <c r="F204" s="42" t="str" cm="1">
        <f t="array" ref="F204">_xlfn.IFS(E204="Bandung","BDG",E204="Surabaya","SBY",E204="Jakarta","JKT")</f>
        <v>JKT</v>
      </c>
      <c r="G204" s="27" t="s">
        <v>33</v>
      </c>
      <c r="H204" s="27" t="s">
        <v>96</v>
      </c>
      <c r="I204" s="27" t="s">
        <v>35</v>
      </c>
      <c r="J204" s="26">
        <v>43750</v>
      </c>
      <c r="K204" s="26">
        <v>43809</v>
      </c>
      <c r="L204" s="27">
        <f t="shared" si="20"/>
        <v>3</v>
      </c>
      <c r="M204" s="45">
        <v>23850</v>
      </c>
      <c r="N204" s="45">
        <v>39150</v>
      </c>
      <c r="O204" s="27">
        <v>173</v>
      </c>
      <c r="P204" s="46">
        <f t="shared" si="21"/>
        <v>0.39080459770114945</v>
      </c>
      <c r="Q204" s="27">
        <v>34</v>
      </c>
      <c r="R204" s="44">
        <f t="shared" si="18"/>
        <v>1331100</v>
      </c>
      <c r="S204" s="29">
        <v>0</v>
      </c>
      <c r="T204" s="44">
        <f t="shared" si="22"/>
        <v>1331100</v>
      </c>
      <c r="U204" s="44">
        <f t="shared" si="23"/>
        <v>520200</v>
      </c>
      <c r="V204" s="44"/>
    </row>
    <row r="205" spans="1:22" ht="14.5" x14ac:dyDescent="0.35">
      <c r="A205" s="47" t="str">
        <f t="shared" si="19"/>
        <v>SBY-RJ-E1034-2016</v>
      </c>
      <c r="B205" s="26">
        <v>42530</v>
      </c>
      <c r="C205" s="42">
        <v>2016</v>
      </c>
      <c r="D205" s="27" t="s">
        <v>64</v>
      </c>
      <c r="E205" s="27" t="s">
        <v>41</v>
      </c>
      <c r="F205" s="42" t="str" cm="1">
        <f t="array" ref="F205">_xlfn.IFS(E205="Bandung","BDG",E205="Surabaya","SBY",E205="Jakarta","JKT")</f>
        <v>SBY</v>
      </c>
      <c r="G205" s="27" t="s">
        <v>65</v>
      </c>
      <c r="H205" s="27" t="s">
        <v>58</v>
      </c>
      <c r="I205" s="27" t="s">
        <v>35</v>
      </c>
      <c r="J205" s="26">
        <v>42532</v>
      </c>
      <c r="K205" s="26">
        <v>42680</v>
      </c>
      <c r="L205" s="27">
        <f t="shared" si="20"/>
        <v>150</v>
      </c>
      <c r="M205" s="45">
        <v>814350</v>
      </c>
      <c r="N205" s="45">
        <v>1357200</v>
      </c>
      <c r="O205" s="27">
        <v>150</v>
      </c>
      <c r="P205" s="46">
        <f t="shared" si="21"/>
        <v>0.39997789566755082</v>
      </c>
      <c r="Q205" s="27">
        <v>3</v>
      </c>
      <c r="R205" s="44">
        <f t="shared" si="18"/>
        <v>4071600</v>
      </c>
      <c r="S205" s="29">
        <v>0.03</v>
      </c>
      <c r="T205" s="44">
        <f t="shared" si="22"/>
        <v>3949452</v>
      </c>
      <c r="U205" s="44">
        <f t="shared" si="23"/>
        <v>1506402</v>
      </c>
      <c r="V205" s="44"/>
    </row>
    <row r="206" spans="1:22" ht="14.5" x14ac:dyDescent="0.35">
      <c r="A206" s="47" t="str">
        <f t="shared" si="19"/>
        <v>SBY-RJ-E1034-2020</v>
      </c>
      <c r="B206" s="26">
        <v>43849</v>
      </c>
      <c r="C206" s="42">
        <v>2020</v>
      </c>
      <c r="D206" s="27" t="s">
        <v>64</v>
      </c>
      <c r="E206" s="27" t="s">
        <v>41</v>
      </c>
      <c r="F206" s="42" t="str" cm="1">
        <f t="array" ref="F206">_xlfn.IFS(E206="Bandung","BDG",E206="Surabaya","SBY",E206="Jakarta","JKT")</f>
        <v>SBY</v>
      </c>
      <c r="G206" s="27" t="s">
        <v>65</v>
      </c>
      <c r="H206" s="27" t="s">
        <v>87</v>
      </c>
      <c r="I206" s="27" t="s">
        <v>35</v>
      </c>
      <c r="J206" s="26" t="s">
        <v>1766</v>
      </c>
      <c r="K206" s="26">
        <v>43851</v>
      </c>
      <c r="L206" s="27">
        <f t="shared" si="20"/>
        <v>2</v>
      </c>
      <c r="M206" s="45">
        <v>52800</v>
      </c>
      <c r="N206" s="45">
        <v>85200</v>
      </c>
      <c r="O206" s="27">
        <v>217</v>
      </c>
      <c r="P206" s="46">
        <f t="shared" si="21"/>
        <v>0.38028169014084506</v>
      </c>
      <c r="Q206" s="27">
        <v>23</v>
      </c>
      <c r="R206" s="44">
        <f t="shared" si="18"/>
        <v>1959600</v>
      </c>
      <c r="S206" s="29">
        <v>0.02</v>
      </c>
      <c r="T206" s="44">
        <f t="shared" si="22"/>
        <v>1920408</v>
      </c>
      <c r="U206" s="44">
        <f t="shared" si="23"/>
        <v>706008</v>
      </c>
      <c r="V206" s="44"/>
    </row>
    <row r="207" spans="1:22" ht="14.5" x14ac:dyDescent="0.35">
      <c r="A207" s="47" t="str">
        <f t="shared" si="19"/>
        <v>JKT-RA-E1028-2016</v>
      </c>
      <c r="B207" s="26">
        <v>42540</v>
      </c>
      <c r="C207" s="42">
        <v>2016</v>
      </c>
      <c r="D207" s="27" t="s">
        <v>68</v>
      </c>
      <c r="E207" s="27" t="s">
        <v>32</v>
      </c>
      <c r="F207" s="42" t="str" cm="1">
        <f t="array" ref="F207">_xlfn.IFS(E207="Bandung","BDG",E207="Surabaya","SBY",E207="Jakarta","JKT")</f>
        <v>JKT</v>
      </c>
      <c r="G207" s="27" t="s">
        <v>33</v>
      </c>
      <c r="H207" s="27" t="s">
        <v>69</v>
      </c>
      <c r="I207" s="27" t="s">
        <v>39</v>
      </c>
      <c r="J207" s="26">
        <v>42543</v>
      </c>
      <c r="K207" s="26">
        <v>42543</v>
      </c>
      <c r="L207" s="27">
        <f t="shared" si="20"/>
        <v>3</v>
      </c>
      <c r="M207" s="45">
        <v>10650</v>
      </c>
      <c r="N207" s="45">
        <v>17100</v>
      </c>
      <c r="O207" s="27">
        <v>224</v>
      </c>
      <c r="P207" s="46">
        <f t="shared" si="21"/>
        <v>0.37719298245614036</v>
      </c>
      <c r="Q207" s="27">
        <v>50</v>
      </c>
      <c r="R207" s="44">
        <f t="shared" si="18"/>
        <v>855000</v>
      </c>
      <c r="S207" s="29">
        <v>0.06</v>
      </c>
      <c r="T207" s="44">
        <f t="shared" si="22"/>
        <v>803700</v>
      </c>
      <c r="U207" s="44">
        <f t="shared" si="23"/>
        <v>271200</v>
      </c>
      <c r="V207" s="44"/>
    </row>
    <row r="208" spans="1:22" ht="14.5" x14ac:dyDescent="0.35">
      <c r="A208" s="47" t="str">
        <f t="shared" si="19"/>
        <v>JKT-RA-E1028-2016</v>
      </c>
      <c r="B208" s="26">
        <v>42678</v>
      </c>
      <c r="C208" s="42">
        <v>2016</v>
      </c>
      <c r="D208" s="27" t="s">
        <v>68</v>
      </c>
      <c r="E208" s="27" t="s">
        <v>32</v>
      </c>
      <c r="F208" s="42" t="str" cm="1">
        <f t="array" ref="F208">_xlfn.IFS(E208="Bandung","BDG",E208="Surabaya","SBY",E208="Jakarta","JKT")</f>
        <v>JKT</v>
      </c>
      <c r="G208" s="27" t="s">
        <v>33</v>
      </c>
      <c r="H208" s="27" t="s">
        <v>212</v>
      </c>
      <c r="I208" s="27" t="s">
        <v>39</v>
      </c>
      <c r="J208" s="26">
        <v>42680</v>
      </c>
      <c r="K208" s="26">
        <v>42532</v>
      </c>
      <c r="L208" s="27">
        <f t="shared" si="20"/>
        <v>-146</v>
      </c>
      <c r="M208" s="45">
        <v>44700</v>
      </c>
      <c r="N208" s="45">
        <v>87600</v>
      </c>
      <c r="O208" s="27">
        <v>56</v>
      </c>
      <c r="P208" s="46">
        <f t="shared" si="21"/>
        <v>0.48972602739726029</v>
      </c>
      <c r="Q208" s="27">
        <v>11</v>
      </c>
      <c r="R208" s="44">
        <f t="shared" si="18"/>
        <v>963600</v>
      </c>
      <c r="S208" s="29">
        <v>0.01</v>
      </c>
      <c r="T208" s="44">
        <f t="shared" si="22"/>
        <v>953964</v>
      </c>
      <c r="U208" s="44">
        <f t="shared" si="23"/>
        <v>462264</v>
      </c>
      <c r="V208" s="44"/>
    </row>
    <row r="209" spans="1:22" ht="14.5" x14ac:dyDescent="0.35">
      <c r="A209" s="47" t="str">
        <f t="shared" si="19"/>
        <v>JKT-RA-E1028-2017</v>
      </c>
      <c r="B209" s="26">
        <v>42847</v>
      </c>
      <c r="C209" s="42">
        <v>2017</v>
      </c>
      <c r="D209" s="27" t="s">
        <v>68</v>
      </c>
      <c r="E209" s="27" t="s">
        <v>32</v>
      </c>
      <c r="F209" s="42" t="str" cm="1">
        <f t="array" ref="F209">_xlfn.IFS(E209="Bandung","BDG",E209="Surabaya","SBY",E209="Jakarta","JKT")</f>
        <v>JKT</v>
      </c>
      <c r="G209" s="27" t="s">
        <v>33</v>
      </c>
      <c r="H209" s="27" t="s">
        <v>79</v>
      </c>
      <c r="I209" s="27" t="s">
        <v>39</v>
      </c>
      <c r="J209" s="26" t="s">
        <v>1604</v>
      </c>
      <c r="K209" s="26">
        <v>42851</v>
      </c>
      <c r="L209" s="27">
        <f t="shared" si="20"/>
        <v>4</v>
      </c>
      <c r="M209" s="45">
        <v>19500</v>
      </c>
      <c r="N209" s="45">
        <v>43200</v>
      </c>
      <c r="O209" s="27">
        <v>241</v>
      </c>
      <c r="P209" s="46">
        <f t="shared" si="21"/>
        <v>0.54861111111111116</v>
      </c>
      <c r="Q209" s="27">
        <v>46</v>
      </c>
      <c r="R209" s="44">
        <f t="shared" si="18"/>
        <v>1987200</v>
      </c>
      <c r="S209" s="29">
        <v>0.04</v>
      </c>
      <c r="T209" s="44">
        <f t="shared" si="22"/>
        <v>1907712</v>
      </c>
      <c r="U209" s="44">
        <f t="shared" si="23"/>
        <v>1010712</v>
      </c>
      <c r="V209" s="44"/>
    </row>
    <row r="210" spans="1:22" ht="14.5" x14ac:dyDescent="0.35">
      <c r="A210" s="47" t="str">
        <f t="shared" si="19"/>
        <v>JKT-RA-E1028-2018</v>
      </c>
      <c r="B210" s="26">
        <v>43336</v>
      </c>
      <c r="C210" s="42">
        <v>2018</v>
      </c>
      <c r="D210" s="27" t="s">
        <v>68</v>
      </c>
      <c r="E210" s="27" t="s">
        <v>32</v>
      </c>
      <c r="F210" s="42" t="str" cm="1">
        <f t="array" ref="F210">_xlfn.IFS(E210="Bandung","BDG",E210="Surabaya","SBY",E210="Jakarta","JKT")</f>
        <v>JKT</v>
      </c>
      <c r="G210" s="27" t="s">
        <v>33</v>
      </c>
      <c r="H210" s="27" t="s">
        <v>434</v>
      </c>
      <c r="I210" s="27" t="s">
        <v>39</v>
      </c>
      <c r="J210" s="26" t="s">
        <v>1689</v>
      </c>
      <c r="K210" s="26">
        <v>43338</v>
      </c>
      <c r="L210" s="27">
        <f t="shared" si="20"/>
        <v>2</v>
      </c>
      <c r="M210" s="45">
        <v>28200</v>
      </c>
      <c r="N210" s="45">
        <v>47100</v>
      </c>
      <c r="O210" s="27">
        <v>93</v>
      </c>
      <c r="P210" s="46">
        <f t="shared" si="21"/>
        <v>0.40127388535031849</v>
      </c>
      <c r="Q210" s="27">
        <v>50</v>
      </c>
      <c r="R210" s="44">
        <f t="shared" si="18"/>
        <v>2355000</v>
      </c>
      <c r="S210" s="29">
        <v>0</v>
      </c>
      <c r="T210" s="44">
        <f t="shared" si="22"/>
        <v>2355000</v>
      </c>
      <c r="U210" s="44">
        <f t="shared" si="23"/>
        <v>945000</v>
      </c>
      <c r="V210" s="44"/>
    </row>
    <row r="211" spans="1:22" ht="14.5" x14ac:dyDescent="0.35">
      <c r="A211" s="47" t="str">
        <f t="shared" si="19"/>
        <v>JKT-RA-E1028-2020</v>
      </c>
      <c r="B211" s="26">
        <v>43866</v>
      </c>
      <c r="C211" s="42">
        <v>2020</v>
      </c>
      <c r="D211" s="27" t="s">
        <v>68</v>
      </c>
      <c r="E211" s="27" t="s">
        <v>32</v>
      </c>
      <c r="F211" s="42" t="str" cm="1">
        <f t="array" ref="F211">_xlfn.IFS(E211="Bandung","BDG",E211="Surabaya","SBY",E211="Jakarta","JKT")</f>
        <v>JKT</v>
      </c>
      <c r="G211" s="27" t="s">
        <v>33</v>
      </c>
      <c r="H211" s="27" t="s">
        <v>247</v>
      </c>
      <c r="I211" s="27" t="s">
        <v>236</v>
      </c>
      <c r="J211" s="26">
        <v>43873</v>
      </c>
      <c r="K211" s="26">
        <v>44167</v>
      </c>
      <c r="L211" s="27">
        <f t="shared" si="20"/>
        <v>301</v>
      </c>
      <c r="M211" s="45">
        <v>842400</v>
      </c>
      <c r="N211" s="45">
        <v>2054699.9999999998</v>
      </c>
      <c r="O211" s="27">
        <v>153</v>
      </c>
      <c r="P211" s="46">
        <f t="shared" si="21"/>
        <v>0.59001314060446775</v>
      </c>
      <c r="Q211" s="27">
        <v>3</v>
      </c>
      <c r="R211" s="44">
        <f t="shared" si="18"/>
        <v>6164099.9999999991</v>
      </c>
      <c r="S211" s="29">
        <v>0.1</v>
      </c>
      <c r="T211" s="44">
        <f t="shared" si="22"/>
        <v>5547689.9999999991</v>
      </c>
      <c r="U211" s="44">
        <f t="shared" si="23"/>
        <v>3020489.9999999991</v>
      </c>
      <c r="V211" s="44"/>
    </row>
    <row r="212" spans="1:22" ht="14.5" x14ac:dyDescent="0.35">
      <c r="A212" s="47" t="str">
        <f t="shared" si="19"/>
        <v>JKT-RU-E1028-2016</v>
      </c>
      <c r="B212" s="26">
        <v>42599</v>
      </c>
      <c r="C212" s="42">
        <v>2016</v>
      </c>
      <c r="D212" s="27" t="s">
        <v>116</v>
      </c>
      <c r="E212" s="27" t="s">
        <v>32</v>
      </c>
      <c r="F212" s="42" t="str" cm="1">
        <f t="array" ref="F212">_xlfn.IFS(E212="Bandung","BDG",E212="Surabaya","SBY",E212="Jakarta","JKT")</f>
        <v>JKT</v>
      </c>
      <c r="G212" s="27" t="s">
        <v>33</v>
      </c>
      <c r="H212" s="27" t="s">
        <v>105</v>
      </c>
      <c r="I212" s="27" t="s">
        <v>35</v>
      </c>
      <c r="J212" s="26">
        <v>42604</v>
      </c>
      <c r="K212" s="26">
        <v>42604</v>
      </c>
      <c r="L212" s="27">
        <f t="shared" si="20"/>
        <v>5</v>
      </c>
      <c r="M212" s="45">
        <v>151050</v>
      </c>
      <c r="N212" s="45">
        <v>239700</v>
      </c>
      <c r="O212" s="27">
        <v>263</v>
      </c>
      <c r="P212" s="46">
        <f t="shared" si="21"/>
        <v>0.36983729662077597</v>
      </c>
      <c r="Q212" s="27">
        <v>34</v>
      </c>
      <c r="R212" s="44">
        <f t="shared" si="18"/>
        <v>8149800</v>
      </c>
      <c r="S212" s="29">
        <v>0.1</v>
      </c>
      <c r="T212" s="44">
        <f t="shared" si="22"/>
        <v>7334820</v>
      </c>
      <c r="U212" s="44">
        <f t="shared" si="23"/>
        <v>2199120</v>
      </c>
      <c r="V212" s="44"/>
    </row>
    <row r="213" spans="1:22" ht="14.5" x14ac:dyDescent="0.35">
      <c r="A213" s="47" t="str">
        <f t="shared" si="19"/>
        <v>JKT-RU-E1028-2016</v>
      </c>
      <c r="B213" s="26">
        <v>42615</v>
      </c>
      <c r="C213" s="42">
        <v>2016</v>
      </c>
      <c r="D213" s="27" t="s">
        <v>116</v>
      </c>
      <c r="E213" s="27" t="s">
        <v>32</v>
      </c>
      <c r="F213" s="42" t="str" cm="1">
        <f t="array" ref="F213">_xlfn.IFS(E213="Bandung","BDG",E213="Surabaya","SBY",E213="Jakarta","JKT")</f>
        <v>JKT</v>
      </c>
      <c r="G213" s="27" t="s">
        <v>33</v>
      </c>
      <c r="H213" s="27" t="s">
        <v>72</v>
      </c>
      <c r="I213" s="27" t="s">
        <v>73</v>
      </c>
      <c r="J213" s="26">
        <v>42409</v>
      </c>
      <c r="K213" s="26">
        <v>42615</v>
      </c>
      <c r="L213" s="27">
        <f t="shared" si="20"/>
        <v>0</v>
      </c>
      <c r="M213" s="45">
        <v>51300</v>
      </c>
      <c r="N213" s="45">
        <v>125100</v>
      </c>
      <c r="O213" s="27">
        <v>107</v>
      </c>
      <c r="P213" s="46">
        <f t="shared" si="21"/>
        <v>0.58992805755395683</v>
      </c>
      <c r="Q213" s="27">
        <v>24</v>
      </c>
      <c r="R213" s="44">
        <f t="shared" si="18"/>
        <v>3002400</v>
      </c>
      <c r="S213" s="29">
        <v>0.1</v>
      </c>
      <c r="T213" s="44">
        <f t="shared" si="22"/>
        <v>2702160</v>
      </c>
      <c r="U213" s="44">
        <f t="shared" si="23"/>
        <v>1470960</v>
      </c>
      <c r="V213" s="44"/>
    </row>
    <row r="214" spans="1:22" ht="14.5" x14ac:dyDescent="0.35">
      <c r="A214" s="47" t="str">
        <f t="shared" si="19"/>
        <v>SBY-RM-E1032-2017</v>
      </c>
      <c r="B214" s="26">
        <v>42801</v>
      </c>
      <c r="C214" s="42">
        <v>2017</v>
      </c>
      <c r="D214" s="27" t="s">
        <v>320</v>
      </c>
      <c r="E214" s="27" t="s">
        <v>41</v>
      </c>
      <c r="F214" s="42" t="str" cm="1">
        <f t="array" ref="F214">_xlfn.IFS(E214="Bandung","BDG",E214="Surabaya","SBY",E214="Jakarta","JKT")</f>
        <v>SBY</v>
      </c>
      <c r="G214" s="27" t="s">
        <v>53</v>
      </c>
      <c r="H214" s="27" t="s">
        <v>239</v>
      </c>
      <c r="I214" s="27" t="s">
        <v>35</v>
      </c>
      <c r="J214" s="26">
        <v>42981</v>
      </c>
      <c r="K214" s="26">
        <v>42803</v>
      </c>
      <c r="L214" s="27">
        <f t="shared" si="20"/>
        <v>2</v>
      </c>
      <c r="M214" s="45">
        <v>52500</v>
      </c>
      <c r="N214" s="45">
        <v>86100</v>
      </c>
      <c r="O214" s="27">
        <v>262</v>
      </c>
      <c r="P214" s="46">
        <f t="shared" si="21"/>
        <v>0.3902439024390244</v>
      </c>
      <c r="Q214" s="27">
        <v>27</v>
      </c>
      <c r="R214" s="44">
        <f t="shared" si="18"/>
        <v>2324700</v>
      </c>
      <c r="S214" s="29">
        <v>0.08</v>
      </c>
      <c r="T214" s="44">
        <f t="shared" si="22"/>
        <v>2138724</v>
      </c>
      <c r="U214" s="44">
        <f t="shared" si="23"/>
        <v>721224</v>
      </c>
      <c r="V214" s="44"/>
    </row>
    <row r="215" spans="1:22" ht="14.5" x14ac:dyDescent="0.35">
      <c r="A215" s="47" t="str">
        <f t="shared" si="19"/>
        <v>SBY-RM-E1032-2019</v>
      </c>
      <c r="B215" s="26">
        <v>43562</v>
      </c>
      <c r="C215" s="42">
        <v>2019</v>
      </c>
      <c r="D215" s="27" t="s">
        <v>320</v>
      </c>
      <c r="E215" s="27" t="s">
        <v>41</v>
      </c>
      <c r="F215" s="42" t="str" cm="1">
        <f t="array" ref="F215">_xlfn.IFS(E215="Bandung","BDG",E215="Surabaya","SBY",E215="Jakarta","JKT")</f>
        <v>SBY</v>
      </c>
      <c r="G215" s="27" t="s">
        <v>53</v>
      </c>
      <c r="H215" s="27" t="s">
        <v>138</v>
      </c>
      <c r="I215" s="27" t="s">
        <v>35</v>
      </c>
      <c r="J215" s="26">
        <v>43564</v>
      </c>
      <c r="K215" s="26">
        <v>43712</v>
      </c>
      <c r="L215" s="27">
        <f t="shared" si="20"/>
        <v>150</v>
      </c>
      <c r="M215" s="45">
        <v>17700</v>
      </c>
      <c r="N215" s="45">
        <v>28200</v>
      </c>
      <c r="O215" s="27">
        <v>306</v>
      </c>
      <c r="P215" s="46">
        <f t="shared" si="21"/>
        <v>0.37234042553191488</v>
      </c>
      <c r="Q215" s="27">
        <v>39</v>
      </c>
      <c r="R215" s="44">
        <f t="shared" si="18"/>
        <v>1099800</v>
      </c>
      <c r="S215" s="29">
        <v>7.0000000000000007E-2</v>
      </c>
      <c r="T215" s="44">
        <f t="shared" si="22"/>
        <v>1022813.9999999999</v>
      </c>
      <c r="U215" s="44">
        <f t="shared" si="23"/>
        <v>332513.99999999988</v>
      </c>
      <c r="V215" s="44"/>
    </row>
    <row r="216" spans="1:22" ht="14.5" x14ac:dyDescent="0.35">
      <c r="A216" s="47" t="str">
        <f t="shared" si="19"/>
        <v>SBY-RS-E1041-2019</v>
      </c>
      <c r="B216" s="26">
        <v>43724</v>
      </c>
      <c r="C216" s="42">
        <v>2019</v>
      </c>
      <c r="D216" s="27" t="s">
        <v>692</v>
      </c>
      <c r="E216" s="27" t="s">
        <v>41</v>
      </c>
      <c r="F216" s="42" t="str" cm="1">
        <f t="array" ref="F216">_xlfn.IFS(E216="Bandung","BDG",E216="Surabaya","SBY",E216="Jakarta","JKT")</f>
        <v>SBY</v>
      </c>
      <c r="G216" s="27" t="s">
        <v>166</v>
      </c>
      <c r="H216" s="27" t="s">
        <v>69</v>
      </c>
      <c r="I216" s="27" t="s">
        <v>39</v>
      </c>
      <c r="J216" s="26" t="s">
        <v>1746</v>
      </c>
      <c r="K216" s="26">
        <v>43726</v>
      </c>
      <c r="L216" s="27">
        <f t="shared" si="20"/>
        <v>2</v>
      </c>
      <c r="M216" s="45">
        <v>10650</v>
      </c>
      <c r="N216" s="45">
        <v>17100</v>
      </c>
      <c r="O216" s="27">
        <v>174</v>
      </c>
      <c r="P216" s="46">
        <f t="shared" si="21"/>
        <v>0.37719298245614036</v>
      </c>
      <c r="Q216" s="27">
        <v>3</v>
      </c>
      <c r="R216" s="44">
        <f t="shared" si="18"/>
        <v>51300</v>
      </c>
      <c r="S216" s="29">
        <v>0.1</v>
      </c>
      <c r="T216" s="44">
        <f t="shared" si="22"/>
        <v>46170</v>
      </c>
      <c r="U216" s="44">
        <f t="shared" si="23"/>
        <v>14220</v>
      </c>
      <c r="V216" s="44"/>
    </row>
    <row r="217" spans="1:22" ht="14.5" x14ac:dyDescent="0.35">
      <c r="A217" s="47" t="str">
        <f t="shared" si="19"/>
        <v>SBY-RH-E1038-2017</v>
      </c>
      <c r="B217" s="26">
        <v>42880</v>
      </c>
      <c r="C217" s="42">
        <v>2017</v>
      </c>
      <c r="D217" s="27" t="s">
        <v>367</v>
      </c>
      <c r="E217" s="27" t="s">
        <v>41</v>
      </c>
      <c r="F217" s="42" t="str" cm="1">
        <f t="array" ref="F217">_xlfn.IFS(E217="Bandung","BDG",E217="Surabaya","SBY",E217="Jakarta","JKT")</f>
        <v>SBY</v>
      </c>
      <c r="G217" s="27" t="s">
        <v>98</v>
      </c>
      <c r="H217" s="27" t="s">
        <v>368</v>
      </c>
      <c r="I217" s="27" t="s">
        <v>35</v>
      </c>
      <c r="J217" s="26" t="s">
        <v>1610</v>
      </c>
      <c r="K217" s="26">
        <v>42882</v>
      </c>
      <c r="L217" s="27">
        <f t="shared" si="20"/>
        <v>2</v>
      </c>
      <c r="M217" s="45">
        <v>781050</v>
      </c>
      <c r="N217" s="45">
        <v>1259700</v>
      </c>
      <c r="O217" s="27">
        <v>113</v>
      </c>
      <c r="P217" s="46">
        <f t="shared" si="21"/>
        <v>0.37997142176708743</v>
      </c>
      <c r="Q217" s="27">
        <v>9</v>
      </c>
      <c r="R217" s="44">
        <f t="shared" si="18"/>
        <v>11337300</v>
      </c>
      <c r="S217" s="29">
        <v>0.05</v>
      </c>
      <c r="T217" s="44">
        <f t="shared" si="22"/>
        <v>10770435</v>
      </c>
      <c r="U217" s="44">
        <f t="shared" si="23"/>
        <v>3740985</v>
      </c>
      <c r="V217" s="44"/>
    </row>
    <row r="218" spans="1:22" ht="14.5" x14ac:dyDescent="0.35">
      <c r="A218" s="47" t="str">
        <f t="shared" si="19"/>
        <v>SBY-RP-E1032-2016</v>
      </c>
      <c r="B218" s="26">
        <v>42657</v>
      </c>
      <c r="C218" s="42">
        <v>2016</v>
      </c>
      <c r="D218" s="27" t="s">
        <v>189</v>
      </c>
      <c r="E218" s="27" t="s">
        <v>41</v>
      </c>
      <c r="F218" s="42" t="str" cm="1">
        <f t="array" ref="F218">_xlfn.IFS(E218="Bandung","BDG",E218="Surabaya","SBY",E218="Jakarta","JKT")</f>
        <v>SBY</v>
      </c>
      <c r="G218" s="27" t="s">
        <v>53</v>
      </c>
      <c r="H218" s="27" t="s">
        <v>115</v>
      </c>
      <c r="I218" s="27" t="s">
        <v>73</v>
      </c>
      <c r="J218" s="26" t="s">
        <v>1569</v>
      </c>
      <c r="K218" s="26">
        <v>42658</v>
      </c>
      <c r="L218" s="27">
        <f t="shared" si="20"/>
        <v>1</v>
      </c>
      <c r="M218" s="45">
        <v>28050</v>
      </c>
      <c r="N218" s="45">
        <v>121799.99999999999</v>
      </c>
      <c r="O218" s="27">
        <v>175</v>
      </c>
      <c r="P218" s="46">
        <f t="shared" si="21"/>
        <v>0.76970443349753692</v>
      </c>
      <c r="Q218" s="27">
        <v>32</v>
      </c>
      <c r="R218" s="44">
        <f t="shared" si="18"/>
        <v>3897599.9999999995</v>
      </c>
      <c r="S218" s="29">
        <v>0.08</v>
      </c>
      <c r="T218" s="44">
        <f t="shared" si="22"/>
        <v>3585791.9999999995</v>
      </c>
      <c r="U218" s="44">
        <f t="shared" si="23"/>
        <v>2688191.9999999995</v>
      </c>
      <c r="V218" s="44"/>
    </row>
    <row r="219" spans="1:22" ht="14.5" x14ac:dyDescent="0.35">
      <c r="A219" s="47" t="str">
        <f t="shared" si="19"/>
        <v>SBY-RA-E1030-2017</v>
      </c>
      <c r="B219" s="26">
        <v>42795</v>
      </c>
      <c r="C219" s="42">
        <v>2017</v>
      </c>
      <c r="D219" s="27" t="s">
        <v>312</v>
      </c>
      <c r="E219" s="27" t="s">
        <v>41</v>
      </c>
      <c r="F219" s="42" t="str" cm="1">
        <f t="array" ref="F219">_xlfn.IFS(E219="Bandung","BDG",E219="Surabaya","SBY",E219="Jakarta","JKT")</f>
        <v>SBY</v>
      </c>
      <c r="G219" s="27" t="s">
        <v>42</v>
      </c>
      <c r="H219" s="27" t="s">
        <v>101</v>
      </c>
      <c r="I219" s="27" t="s">
        <v>35</v>
      </c>
      <c r="J219" s="26">
        <v>42797</v>
      </c>
      <c r="K219" s="26">
        <v>42797</v>
      </c>
      <c r="L219" s="27">
        <f t="shared" si="20"/>
        <v>2</v>
      </c>
      <c r="M219" s="45">
        <v>594600</v>
      </c>
      <c r="N219" s="45">
        <v>2287200</v>
      </c>
      <c r="O219" s="27">
        <v>327</v>
      </c>
      <c r="P219" s="46">
        <f t="shared" si="21"/>
        <v>0.74003147953830006</v>
      </c>
      <c r="Q219" s="27">
        <v>2</v>
      </c>
      <c r="R219" s="44">
        <f t="shared" si="18"/>
        <v>4574400</v>
      </c>
      <c r="S219" s="29">
        <v>0.02</v>
      </c>
      <c r="T219" s="44">
        <f t="shared" si="22"/>
        <v>4482912</v>
      </c>
      <c r="U219" s="44">
        <f t="shared" si="23"/>
        <v>3293712</v>
      </c>
      <c r="V219" s="44"/>
    </row>
    <row r="220" spans="1:22" ht="14.5" x14ac:dyDescent="0.35">
      <c r="A220" s="47" t="str">
        <f t="shared" si="19"/>
        <v>SBY-RA-E1030-2020</v>
      </c>
      <c r="B220" s="26">
        <v>43900</v>
      </c>
      <c r="C220" s="42">
        <v>2020</v>
      </c>
      <c r="D220" s="27" t="s">
        <v>312</v>
      </c>
      <c r="E220" s="27" t="s">
        <v>41</v>
      </c>
      <c r="F220" s="42" t="str" cm="1">
        <f t="array" ref="F220">_xlfn.IFS(E220="Bandung","BDG",E220="Surabaya","SBY",E220="Jakarta","JKT")</f>
        <v>SBY</v>
      </c>
      <c r="G220" s="27" t="s">
        <v>42</v>
      </c>
      <c r="H220" s="27" t="s">
        <v>414</v>
      </c>
      <c r="I220" s="27" t="s">
        <v>39</v>
      </c>
      <c r="J220" s="26" t="s">
        <v>1778</v>
      </c>
      <c r="K220" s="26">
        <v>43904</v>
      </c>
      <c r="L220" s="27">
        <f t="shared" si="20"/>
        <v>4</v>
      </c>
      <c r="M220" s="45">
        <v>13050</v>
      </c>
      <c r="N220" s="45">
        <v>27150</v>
      </c>
      <c r="O220" s="27">
        <v>124</v>
      </c>
      <c r="P220" s="46">
        <f t="shared" si="21"/>
        <v>0.51933701657458564</v>
      </c>
      <c r="Q220" s="27">
        <v>18</v>
      </c>
      <c r="R220" s="44">
        <f t="shared" si="18"/>
        <v>488700</v>
      </c>
      <c r="S220" s="29">
        <v>0.06</v>
      </c>
      <c r="T220" s="44">
        <f t="shared" si="22"/>
        <v>459378</v>
      </c>
      <c r="U220" s="44">
        <f t="shared" si="23"/>
        <v>224478</v>
      </c>
      <c r="V220" s="44"/>
    </row>
    <row r="221" spans="1:22" ht="14.5" x14ac:dyDescent="0.35">
      <c r="A221" s="47" t="str">
        <f t="shared" si="19"/>
        <v>JKT-QF-E1028-2019</v>
      </c>
      <c r="B221" s="26">
        <v>43683</v>
      </c>
      <c r="C221" s="42">
        <v>2019</v>
      </c>
      <c r="D221" s="27" t="s">
        <v>679</v>
      </c>
      <c r="E221" s="27" t="s">
        <v>32</v>
      </c>
      <c r="F221" s="42" t="str" cm="1">
        <f t="array" ref="F221">_xlfn.IFS(E221="Bandung","BDG",E221="Surabaya","SBY",E221="Jakarta","JKT")</f>
        <v>JKT</v>
      </c>
      <c r="G221" s="27" t="s">
        <v>33</v>
      </c>
      <c r="H221" s="27" t="s">
        <v>125</v>
      </c>
      <c r="I221" s="27" t="s">
        <v>39</v>
      </c>
      <c r="J221" s="26">
        <v>43685</v>
      </c>
      <c r="K221" s="26">
        <v>43685</v>
      </c>
      <c r="L221" s="27">
        <f t="shared" si="20"/>
        <v>2</v>
      </c>
      <c r="M221" s="45">
        <v>323400</v>
      </c>
      <c r="N221" s="45">
        <v>548250</v>
      </c>
      <c r="O221" s="27">
        <v>177</v>
      </c>
      <c r="P221" s="46">
        <f t="shared" si="21"/>
        <v>0.41012311901504789</v>
      </c>
      <c r="Q221" s="27">
        <v>17</v>
      </c>
      <c r="R221" s="44">
        <f t="shared" si="18"/>
        <v>9320250</v>
      </c>
      <c r="S221" s="29">
        <v>0.09</v>
      </c>
      <c r="T221" s="44">
        <f t="shared" si="22"/>
        <v>8481427.5</v>
      </c>
      <c r="U221" s="44">
        <f t="shared" si="23"/>
        <v>2983627.5</v>
      </c>
      <c r="V221" s="44"/>
    </row>
    <row r="222" spans="1:22" ht="14.5" x14ac:dyDescent="0.35">
      <c r="A222" s="47" t="str">
        <f t="shared" si="19"/>
        <v>JKT-PS-E1029-2018</v>
      </c>
      <c r="B222" s="26">
        <v>43283</v>
      </c>
      <c r="C222" s="42">
        <v>2018</v>
      </c>
      <c r="D222" s="27" t="s">
        <v>562</v>
      </c>
      <c r="E222" s="27" t="s">
        <v>32</v>
      </c>
      <c r="F222" s="42" t="str" cm="1">
        <f t="array" ref="F222">_xlfn.IFS(E222="Bandung","BDG",E222="Surabaya","SBY",E222="Jakarta","JKT")</f>
        <v>JKT</v>
      </c>
      <c r="G222" s="27" t="s">
        <v>37</v>
      </c>
      <c r="H222" s="27" t="s">
        <v>140</v>
      </c>
      <c r="I222" s="27" t="s">
        <v>35</v>
      </c>
      <c r="J222" s="26">
        <v>43284</v>
      </c>
      <c r="K222" s="26">
        <v>43166</v>
      </c>
      <c r="L222" s="27">
        <f t="shared" si="20"/>
        <v>-117</v>
      </c>
      <c r="M222" s="45">
        <v>96000</v>
      </c>
      <c r="N222" s="45">
        <v>436500</v>
      </c>
      <c r="O222" s="27">
        <v>83</v>
      </c>
      <c r="P222" s="46">
        <f t="shared" si="21"/>
        <v>0.78006872852233677</v>
      </c>
      <c r="Q222" s="27">
        <v>50</v>
      </c>
      <c r="R222" s="44">
        <f t="shared" si="18"/>
        <v>21825000</v>
      </c>
      <c r="S222" s="29">
        <v>0.09</v>
      </c>
      <c r="T222" s="44">
        <f t="shared" si="22"/>
        <v>19860750</v>
      </c>
      <c r="U222" s="44">
        <f t="shared" si="23"/>
        <v>15060750</v>
      </c>
      <c r="V222" s="44"/>
    </row>
    <row r="223" spans="1:22" ht="14.5" x14ac:dyDescent="0.35">
      <c r="A223" s="47" t="str">
        <f t="shared" si="19"/>
        <v>JKT-PS-E1029-2018</v>
      </c>
      <c r="B223" s="26">
        <v>43342</v>
      </c>
      <c r="C223" s="42">
        <v>2018</v>
      </c>
      <c r="D223" s="27" t="s">
        <v>562</v>
      </c>
      <c r="E223" s="27" t="s">
        <v>32</v>
      </c>
      <c r="F223" s="42" t="str" cm="1">
        <f t="array" ref="F223">_xlfn.IFS(E223="Bandung","BDG",E223="Surabaya","SBY",E223="Jakarta","JKT")</f>
        <v>JKT</v>
      </c>
      <c r="G223" s="27" t="s">
        <v>37</v>
      </c>
      <c r="H223" s="27" t="s">
        <v>490</v>
      </c>
      <c r="I223" s="27" t="s">
        <v>35</v>
      </c>
      <c r="J223" s="26">
        <v>43342</v>
      </c>
      <c r="K223" s="26">
        <v>43342</v>
      </c>
      <c r="L223" s="27">
        <f t="shared" si="20"/>
        <v>0</v>
      </c>
      <c r="M223" s="45">
        <v>17850</v>
      </c>
      <c r="N223" s="45">
        <v>29700</v>
      </c>
      <c r="O223" s="27">
        <v>107</v>
      </c>
      <c r="P223" s="46">
        <f t="shared" si="21"/>
        <v>0.39898989898989901</v>
      </c>
      <c r="Q223" s="27">
        <v>29</v>
      </c>
      <c r="R223" s="44">
        <f t="shared" si="18"/>
        <v>861300</v>
      </c>
      <c r="S223" s="29">
        <v>0.09</v>
      </c>
      <c r="T223" s="44">
        <f t="shared" si="22"/>
        <v>783783</v>
      </c>
      <c r="U223" s="44">
        <f t="shared" si="23"/>
        <v>266133</v>
      </c>
      <c r="V223" s="44"/>
    </row>
    <row r="224" spans="1:22" ht="14.5" x14ac:dyDescent="0.35">
      <c r="A224" s="47" t="str">
        <f t="shared" si="19"/>
        <v>SBY-PH-E1036-2019</v>
      </c>
      <c r="B224" s="26">
        <v>43588</v>
      </c>
      <c r="C224" s="42">
        <v>2019</v>
      </c>
      <c r="D224" s="27" t="s">
        <v>651</v>
      </c>
      <c r="E224" s="27" t="s">
        <v>41</v>
      </c>
      <c r="F224" s="42" t="str" cm="1">
        <f t="array" ref="F224">_xlfn.IFS(E224="Bandung","BDG",E224="Surabaya","SBY",E224="Jakarta","JKT")</f>
        <v>SBY</v>
      </c>
      <c r="G224" s="27" t="s">
        <v>78</v>
      </c>
      <c r="H224" s="27" t="s">
        <v>144</v>
      </c>
      <c r="I224" s="27" t="s">
        <v>35</v>
      </c>
      <c r="J224" s="26">
        <v>43588</v>
      </c>
      <c r="K224" s="26">
        <v>43529</v>
      </c>
      <c r="L224" s="27">
        <f t="shared" si="20"/>
        <v>-59</v>
      </c>
      <c r="M224" s="45">
        <v>2347500</v>
      </c>
      <c r="N224" s="45">
        <v>4514550</v>
      </c>
      <c r="O224" s="27">
        <v>153</v>
      </c>
      <c r="P224" s="46">
        <f t="shared" si="21"/>
        <v>0.48001461939728213</v>
      </c>
      <c r="Q224" s="27">
        <v>43</v>
      </c>
      <c r="R224" s="44">
        <f t="shared" si="18"/>
        <v>194125650</v>
      </c>
      <c r="S224" s="29">
        <v>0.08</v>
      </c>
      <c r="T224" s="44">
        <f t="shared" si="22"/>
        <v>178595598</v>
      </c>
      <c r="U224" s="44">
        <f t="shared" si="23"/>
        <v>77653098</v>
      </c>
      <c r="V224" s="44"/>
    </row>
    <row r="225" spans="1:22" ht="14.5" x14ac:dyDescent="0.35">
      <c r="A225" s="47" t="str">
        <f t="shared" si="19"/>
        <v>SBY-PM-E1041-2017</v>
      </c>
      <c r="B225" s="26">
        <v>42756</v>
      </c>
      <c r="C225" s="42">
        <v>2017</v>
      </c>
      <c r="D225" s="27" t="s">
        <v>283</v>
      </c>
      <c r="E225" s="27" t="s">
        <v>41</v>
      </c>
      <c r="F225" s="42" t="str" cm="1">
        <f t="array" ref="F225">_xlfn.IFS(E225="Bandung","BDG",E225="Surabaya","SBY",E225="Jakarta","JKT")</f>
        <v>SBY</v>
      </c>
      <c r="G225" s="27" t="s">
        <v>166</v>
      </c>
      <c r="H225" s="27" t="s">
        <v>227</v>
      </c>
      <c r="I225" s="27" t="s">
        <v>39</v>
      </c>
      <c r="J225" s="26" t="s">
        <v>1591</v>
      </c>
      <c r="K225" s="26">
        <v>42758</v>
      </c>
      <c r="L225" s="27">
        <f t="shared" si="20"/>
        <v>2</v>
      </c>
      <c r="M225" s="45">
        <v>22950</v>
      </c>
      <c r="N225" s="45">
        <v>41700</v>
      </c>
      <c r="O225" s="27">
        <v>281</v>
      </c>
      <c r="P225" s="46">
        <f t="shared" si="21"/>
        <v>0.44964028776978415</v>
      </c>
      <c r="Q225" s="27">
        <v>6</v>
      </c>
      <c r="R225" s="44">
        <f t="shared" si="18"/>
        <v>250200</v>
      </c>
      <c r="S225" s="29">
        <v>0.01</v>
      </c>
      <c r="T225" s="44">
        <f t="shared" si="22"/>
        <v>247698</v>
      </c>
      <c r="U225" s="44">
        <f t="shared" si="23"/>
        <v>109998</v>
      </c>
      <c r="V225" s="44"/>
    </row>
    <row r="226" spans="1:22" ht="14.5" x14ac:dyDescent="0.35">
      <c r="A226" s="47" t="str">
        <f t="shared" si="19"/>
        <v>SBY-PM-E1041-2017</v>
      </c>
      <c r="B226" s="26">
        <v>42994</v>
      </c>
      <c r="C226" s="42">
        <v>2017</v>
      </c>
      <c r="D226" s="27" t="s">
        <v>283</v>
      </c>
      <c r="E226" s="27" t="s">
        <v>41</v>
      </c>
      <c r="F226" s="42" t="str" cm="1">
        <f t="array" ref="F226">_xlfn.IFS(E226="Bandung","BDG",E226="Surabaya","SBY",E226="Jakarta","JKT")</f>
        <v>SBY</v>
      </c>
      <c r="G226" s="27" t="s">
        <v>166</v>
      </c>
      <c r="H226" s="27" t="s">
        <v>168</v>
      </c>
      <c r="I226" s="27" t="s">
        <v>35</v>
      </c>
      <c r="J226" s="26">
        <v>42995</v>
      </c>
      <c r="K226" s="26">
        <v>42995</v>
      </c>
      <c r="L226" s="27">
        <f t="shared" si="20"/>
        <v>1</v>
      </c>
      <c r="M226" s="45">
        <v>2682450</v>
      </c>
      <c r="N226" s="45">
        <v>6238200</v>
      </c>
      <c r="O226" s="27">
        <v>83</v>
      </c>
      <c r="P226" s="46">
        <f t="shared" si="21"/>
        <v>0.56999615273636628</v>
      </c>
      <c r="Q226" s="27">
        <v>43</v>
      </c>
      <c r="R226" s="44">
        <f t="shared" si="18"/>
        <v>268242600</v>
      </c>
      <c r="S226" s="29">
        <v>7.0000000000000007E-2</v>
      </c>
      <c r="T226" s="44">
        <f t="shared" si="22"/>
        <v>249465617.99999997</v>
      </c>
      <c r="U226" s="44">
        <f t="shared" si="23"/>
        <v>134120267.99999997</v>
      </c>
      <c r="V226" s="44"/>
    </row>
    <row r="227" spans="1:22" ht="14.5" x14ac:dyDescent="0.35">
      <c r="A227" s="47" t="str">
        <f t="shared" si="19"/>
        <v>SBY-PM-E1039-2017</v>
      </c>
      <c r="B227" s="26">
        <v>43009</v>
      </c>
      <c r="C227" s="42">
        <v>2017</v>
      </c>
      <c r="D227" s="27" t="s">
        <v>436</v>
      </c>
      <c r="E227" s="27" t="s">
        <v>41</v>
      </c>
      <c r="F227" s="42" t="str" cm="1">
        <f t="array" ref="F227">_xlfn.IFS(E227="Bandung","BDG",E227="Surabaya","SBY",E227="Jakarta","JKT")</f>
        <v>SBY</v>
      </c>
      <c r="G227" s="27" t="s">
        <v>103</v>
      </c>
      <c r="H227" s="27" t="s">
        <v>158</v>
      </c>
      <c r="I227" s="27" t="s">
        <v>73</v>
      </c>
      <c r="J227" s="26">
        <v>43011</v>
      </c>
      <c r="K227" s="26">
        <v>42804</v>
      </c>
      <c r="L227" s="27">
        <f t="shared" si="20"/>
        <v>-205</v>
      </c>
      <c r="M227" s="45">
        <v>302700</v>
      </c>
      <c r="N227" s="45">
        <v>531150</v>
      </c>
      <c r="O227" s="27">
        <v>127</v>
      </c>
      <c r="P227" s="46">
        <f t="shared" si="21"/>
        <v>0.43010449025698955</v>
      </c>
      <c r="Q227" s="27">
        <v>21</v>
      </c>
      <c r="R227" s="44">
        <f t="shared" si="18"/>
        <v>11154150</v>
      </c>
      <c r="S227" s="29">
        <v>0.01</v>
      </c>
      <c r="T227" s="44">
        <f t="shared" si="22"/>
        <v>11042608.5</v>
      </c>
      <c r="U227" s="44">
        <f t="shared" si="23"/>
        <v>4685908.5</v>
      </c>
      <c r="V227" s="44"/>
    </row>
    <row r="228" spans="1:22" ht="14.5" x14ac:dyDescent="0.35">
      <c r="A228" s="47" t="str">
        <f t="shared" si="19"/>
        <v>SBY-PP-E1032-2016</v>
      </c>
      <c r="B228" s="26">
        <v>42719</v>
      </c>
      <c r="C228" s="42">
        <v>2016</v>
      </c>
      <c r="D228" s="27" t="s">
        <v>258</v>
      </c>
      <c r="E228" s="27" t="s">
        <v>41</v>
      </c>
      <c r="F228" s="42" t="str" cm="1">
        <f t="array" ref="F228">_xlfn.IFS(E228="Bandung","BDG",E228="Surabaya","SBY",E228="Jakarta","JKT")</f>
        <v>SBY</v>
      </c>
      <c r="G228" s="27" t="s">
        <v>53</v>
      </c>
      <c r="H228" s="27" t="s">
        <v>216</v>
      </c>
      <c r="I228" s="27" t="s">
        <v>35</v>
      </c>
      <c r="J228" s="26" t="s">
        <v>1583</v>
      </c>
      <c r="K228" s="26">
        <v>42720</v>
      </c>
      <c r="L228" s="27">
        <f t="shared" si="20"/>
        <v>1</v>
      </c>
      <c r="M228" s="45">
        <v>66900</v>
      </c>
      <c r="N228" s="45">
        <v>163350</v>
      </c>
      <c r="O228" s="27">
        <v>280</v>
      </c>
      <c r="P228" s="46">
        <f t="shared" si="21"/>
        <v>0.59044995408631773</v>
      </c>
      <c r="Q228" s="27">
        <v>9</v>
      </c>
      <c r="R228" s="44">
        <f t="shared" si="18"/>
        <v>1470150</v>
      </c>
      <c r="S228" s="29">
        <v>0.03</v>
      </c>
      <c r="T228" s="44">
        <f t="shared" si="22"/>
        <v>1426045.5</v>
      </c>
      <c r="U228" s="44">
        <f t="shared" si="23"/>
        <v>823945.5</v>
      </c>
      <c r="V228" s="44"/>
    </row>
    <row r="229" spans="1:22" ht="14.5" x14ac:dyDescent="0.35">
      <c r="A229" s="47" t="str">
        <f t="shared" si="19"/>
        <v>SBY-PP-E1032-2019</v>
      </c>
      <c r="B229" s="26">
        <v>43641</v>
      </c>
      <c r="C229" s="42">
        <v>2019</v>
      </c>
      <c r="D229" s="27" t="s">
        <v>258</v>
      </c>
      <c r="E229" s="27" t="s">
        <v>41</v>
      </c>
      <c r="F229" s="42" t="str" cm="1">
        <f t="array" ref="F229">_xlfn.IFS(E229="Bandung","BDG",E229="Surabaya","SBY",E229="Jakarta","JKT")</f>
        <v>SBY</v>
      </c>
      <c r="G229" s="27" t="s">
        <v>53</v>
      </c>
      <c r="H229" s="27" t="s">
        <v>326</v>
      </c>
      <c r="I229" s="27" t="s">
        <v>39</v>
      </c>
      <c r="J229" s="26">
        <v>43646</v>
      </c>
      <c r="K229" s="26">
        <v>43646</v>
      </c>
      <c r="L229" s="27">
        <f t="shared" si="20"/>
        <v>5</v>
      </c>
      <c r="M229" s="45">
        <v>13950</v>
      </c>
      <c r="N229" s="45">
        <v>24000</v>
      </c>
      <c r="O229" s="27">
        <v>147</v>
      </c>
      <c r="P229" s="46">
        <f t="shared" si="21"/>
        <v>0.41875000000000001</v>
      </c>
      <c r="Q229" s="27">
        <v>40</v>
      </c>
      <c r="R229" s="44">
        <f t="shared" si="18"/>
        <v>960000</v>
      </c>
      <c r="S229" s="29">
        <v>0.01</v>
      </c>
      <c r="T229" s="44">
        <f t="shared" si="22"/>
        <v>950400</v>
      </c>
      <c r="U229" s="44">
        <f t="shared" si="23"/>
        <v>392400</v>
      </c>
      <c r="V229" s="44"/>
    </row>
    <row r="230" spans="1:22" ht="14.5" x14ac:dyDescent="0.35">
      <c r="A230" s="47" t="str">
        <f t="shared" si="19"/>
        <v>JKT-PI-E1029-2019</v>
      </c>
      <c r="B230" s="26">
        <v>43650</v>
      </c>
      <c r="C230" s="42">
        <v>2019</v>
      </c>
      <c r="D230" s="27" t="s">
        <v>669</v>
      </c>
      <c r="E230" s="27" t="s">
        <v>32</v>
      </c>
      <c r="F230" s="42" t="str" cm="1">
        <f t="array" ref="F230">_xlfn.IFS(E230="Bandung","BDG",E230="Surabaya","SBY",E230="Jakarta","JKT")</f>
        <v>JKT</v>
      </c>
      <c r="G230" s="27" t="s">
        <v>37</v>
      </c>
      <c r="H230" s="27" t="s">
        <v>119</v>
      </c>
      <c r="I230" s="27" t="s">
        <v>120</v>
      </c>
      <c r="J230" s="26">
        <v>43651</v>
      </c>
      <c r="K230" s="26">
        <v>43592</v>
      </c>
      <c r="L230" s="27">
        <f t="shared" si="20"/>
        <v>-58</v>
      </c>
      <c r="M230" s="45">
        <v>132300</v>
      </c>
      <c r="N230" s="45">
        <v>314850</v>
      </c>
      <c r="O230" s="27">
        <v>257</v>
      </c>
      <c r="P230" s="46">
        <f t="shared" si="21"/>
        <v>0.57979990471653164</v>
      </c>
      <c r="Q230" s="27">
        <v>2</v>
      </c>
      <c r="R230" s="44">
        <f t="shared" si="18"/>
        <v>629700</v>
      </c>
      <c r="S230" s="29">
        <v>7.0000000000000007E-2</v>
      </c>
      <c r="T230" s="44">
        <f t="shared" si="22"/>
        <v>585621</v>
      </c>
      <c r="U230" s="44">
        <f t="shared" si="23"/>
        <v>321021</v>
      </c>
      <c r="V230" s="44"/>
    </row>
    <row r="231" spans="1:22" ht="14.5" x14ac:dyDescent="0.35">
      <c r="A231" s="47" t="str">
        <f t="shared" si="19"/>
        <v>SBY-PN-E1037-2018</v>
      </c>
      <c r="B231" s="26">
        <v>43238</v>
      </c>
      <c r="C231" s="42">
        <v>2018</v>
      </c>
      <c r="D231" s="27" t="s">
        <v>541</v>
      </c>
      <c r="E231" s="27" t="s">
        <v>41</v>
      </c>
      <c r="F231" s="42" t="str" cm="1">
        <f t="array" ref="F231">_xlfn.IFS(E231="Bandung","BDG",E231="Surabaya","SBY",E231="Jakarta","JKT")</f>
        <v>SBY</v>
      </c>
      <c r="G231" s="27" t="s">
        <v>83</v>
      </c>
      <c r="H231" s="27" t="s">
        <v>107</v>
      </c>
      <c r="I231" s="27" t="s">
        <v>73</v>
      </c>
      <c r="J231" s="26">
        <v>43265</v>
      </c>
      <c r="K231" s="26">
        <v>43265</v>
      </c>
      <c r="L231" s="27">
        <f t="shared" si="20"/>
        <v>27</v>
      </c>
      <c r="M231" s="45">
        <v>71850</v>
      </c>
      <c r="N231" s="45">
        <v>179550</v>
      </c>
      <c r="O231" s="27">
        <v>312</v>
      </c>
      <c r="P231" s="46">
        <f t="shared" si="21"/>
        <v>0.59983291562238927</v>
      </c>
      <c r="Q231" s="27">
        <v>17</v>
      </c>
      <c r="R231" s="44">
        <f t="shared" si="18"/>
        <v>3052350</v>
      </c>
      <c r="S231" s="29">
        <v>0.03</v>
      </c>
      <c r="T231" s="44">
        <f t="shared" si="22"/>
        <v>2960779.5</v>
      </c>
      <c r="U231" s="44">
        <f t="shared" si="23"/>
        <v>1739329.5</v>
      </c>
      <c r="V231" s="44"/>
    </row>
    <row r="232" spans="1:22" ht="14.5" x14ac:dyDescent="0.35">
      <c r="A232" s="47" t="str">
        <f t="shared" si="19"/>
        <v>SBY-PN-E1037-2019</v>
      </c>
      <c r="B232" s="26">
        <v>43670</v>
      </c>
      <c r="C232" s="42">
        <v>2019</v>
      </c>
      <c r="D232" s="27" t="s">
        <v>541</v>
      </c>
      <c r="E232" s="27" t="s">
        <v>41</v>
      </c>
      <c r="F232" s="42" t="str" cm="1">
        <f t="array" ref="F232">_xlfn.IFS(E232="Bandung","BDG",E232="Surabaya","SBY",E232="Jakarta","JKT")</f>
        <v>SBY</v>
      </c>
      <c r="G232" s="27" t="s">
        <v>83</v>
      </c>
      <c r="H232" s="27" t="s">
        <v>99</v>
      </c>
      <c r="I232" s="27" t="s">
        <v>35</v>
      </c>
      <c r="J232" s="26">
        <v>43672</v>
      </c>
      <c r="K232" s="26">
        <v>43672</v>
      </c>
      <c r="L232" s="27">
        <f t="shared" si="20"/>
        <v>2</v>
      </c>
      <c r="M232" s="45">
        <v>95850</v>
      </c>
      <c r="N232" s="45">
        <v>299700</v>
      </c>
      <c r="O232" s="27">
        <v>279</v>
      </c>
      <c r="P232" s="46">
        <f t="shared" si="21"/>
        <v>0.68018018018018023</v>
      </c>
      <c r="Q232" s="27">
        <v>35</v>
      </c>
      <c r="R232" s="44">
        <f t="shared" si="18"/>
        <v>10489500</v>
      </c>
      <c r="S232" s="29">
        <v>0.1</v>
      </c>
      <c r="T232" s="44">
        <f t="shared" si="22"/>
        <v>9440550</v>
      </c>
      <c r="U232" s="44">
        <f t="shared" si="23"/>
        <v>6085800</v>
      </c>
      <c r="V232" s="44"/>
    </row>
    <row r="233" spans="1:22" ht="14.5" x14ac:dyDescent="0.35">
      <c r="A233" s="47" t="str">
        <f t="shared" si="19"/>
        <v>JKT-PW-E1029-2019</v>
      </c>
      <c r="B233" s="26">
        <v>43758</v>
      </c>
      <c r="C233" s="42">
        <v>2019</v>
      </c>
      <c r="D233" s="27" t="s">
        <v>698</v>
      </c>
      <c r="E233" s="27" t="s">
        <v>32</v>
      </c>
      <c r="F233" s="42" t="str" cm="1">
        <f t="array" ref="F233">_xlfn.IFS(E233="Bandung","BDG",E233="Surabaya","SBY",E233="Jakarta","JKT")</f>
        <v>JKT</v>
      </c>
      <c r="G233" s="27" t="s">
        <v>37</v>
      </c>
      <c r="H233" s="27" t="s">
        <v>56</v>
      </c>
      <c r="I233" s="27" t="s">
        <v>39</v>
      </c>
      <c r="J233" s="26" t="s">
        <v>1756</v>
      </c>
      <c r="K233" s="26">
        <v>43759</v>
      </c>
      <c r="L233" s="27">
        <f t="shared" si="20"/>
        <v>1</v>
      </c>
      <c r="M233" s="45">
        <v>16350.000000000002</v>
      </c>
      <c r="N233" s="45">
        <v>25200</v>
      </c>
      <c r="O233" s="27">
        <v>163</v>
      </c>
      <c r="P233" s="46">
        <f t="shared" si="21"/>
        <v>0.35119047619047611</v>
      </c>
      <c r="Q233" s="27">
        <v>50</v>
      </c>
      <c r="R233" s="44">
        <f t="shared" si="18"/>
        <v>1260000</v>
      </c>
      <c r="S233" s="29">
        <v>0.09</v>
      </c>
      <c r="T233" s="44">
        <f t="shared" si="22"/>
        <v>1146600</v>
      </c>
      <c r="U233" s="44">
        <f t="shared" si="23"/>
        <v>329099.99999999988</v>
      </c>
      <c r="V233" s="44"/>
    </row>
    <row r="234" spans="1:22" ht="14.5" x14ac:dyDescent="0.35">
      <c r="A234" s="47" t="str">
        <f t="shared" si="19"/>
        <v>JKT-PW-E1029-2020</v>
      </c>
      <c r="B234" s="26">
        <v>43855</v>
      </c>
      <c r="C234" s="42">
        <v>2020</v>
      </c>
      <c r="D234" s="27" t="s">
        <v>698</v>
      </c>
      <c r="E234" s="27" t="s">
        <v>32</v>
      </c>
      <c r="F234" s="42" t="str" cm="1">
        <f t="array" ref="F234">_xlfn.IFS(E234="Bandung","BDG",E234="Surabaya","SBY",E234="Jakarta","JKT")</f>
        <v>JKT</v>
      </c>
      <c r="G234" s="27" t="s">
        <v>37</v>
      </c>
      <c r="H234" s="27" t="s">
        <v>58</v>
      </c>
      <c r="I234" s="27" t="s">
        <v>35</v>
      </c>
      <c r="J234" s="26" t="s">
        <v>1767</v>
      </c>
      <c r="K234" s="26">
        <v>43857</v>
      </c>
      <c r="L234" s="27">
        <f t="shared" si="20"/>
        <v>2</v>
      </c>
      <c r="M234" s="45">
        <v>814350</v>
      </c>
      <c r="N234" s="45">
        <v>1357200</v>
      </c>
      <c r="O234" s="27">
        <v>147</v>
      </c>
      <c r="P234" s="46">
        <f t="shared" si="21"/>
        <v>0.39997789566755082</v>
      </c>
      <c r="Q234" s="27">
        <v>25</v>
      </c>
      <c r="R234" s="44">
        <f t="shared" si="18"/>
        <v>33930000</v>
      </c>
      <c r="S234" s="29">
        <v>0.02</v>
      </c>
      <c r="T234" s="44">
        <f t="shared" si="22"/>
        <v>33251400</v>
      </c>
      <c r="U234" s="44">
        <f t="shared" si="23"/>
        <v>12892650</v>
      </c>
      <c r="V234" s="44"/>
    </row>
    <row r="235" spans="1:22" ht="14.5" x14ac:dyDescent="0.35">
      <c r="A235" s="47" t="str">
        <f t="shared" si="19"/>
        <v>JKT-PH-E1029-2016</v>
      </c>
      <c r="B235" s="26">
        <v>42696</v>
      </c>
      <c r="C235" s="42">
        <v>2016</v>
      </c>
      <c r="D235" s="27" t="s">
        <v>238</v>
      </c>
      <c r="E235" s="27" t="s">
        <v>32</v>
      </c>
      <c r="F235" s="42" t="str" cm="1">
        <f t="array" ref="F235">_xlfn.IFS(E235="Bandung","BDG",E235="Surabaya","SBY",E235="Jakarta","JKT")</f>
        <v>JKT</v>
      </c>
      <c r="G235" s="27" t="s">
        <v>37</v>
      </c>
      <c r="H235" s="27" t="s">
        <v>239</v>
      </c>
      <c r="I235" s="27" t="s">
        <v>35</v>
      </c>
      <c r="J235" s="26">
        <v>42698</v>
      </c>
      <c r="K235" s="26">
        <v>42698</v>
      </c>
      <c r="L235" s="27">
        <f t="shared" si="20"/>
        <v>2</v>
      </c>
      <c r="M235" s="45">
        <v>52500</v>
      </c>
      <c r="N235" s="45">
        <v>86100</v>
      </c>
      <c r="O235" s="27">
        <v>235</v>
      </c>
      <c r="P235" s="46">
        <f t="shared" si="21"/>
        <v>0.3902439024390244</v>
      </c>
      <c r="Q235" s="27">
        <v>50</v>
      </c>
      <c r="R235" s="44">
        <f t="shared" si="18"/>
        <v>4305000</v>
      </c>
      <c r="S235" s="29">
        <v>0.1</v>
      </c>
      <c r="T235" s="44">
        <f t="shared" si="22"/>
        <v>3874500</v>
      </c>
      <c r="U235" s="44">
        <f t="shared" si="23"/>
        <v>1249500</v>
      </c>
      <c r="V235" s="44"/>
    </row>
    <row r="236" spans="1:22" ht="14.5" x14ac:dyDescent="0.35">
      <c r="A236" s="47" t="str">
        <f t="shared" si="19"/>
        <v>SBY-PP-E1037-2019</v>
      </c>
      <c r="B236" s="26">
        <v>43716</v>
      </c>
      <c r="C236" s="42">
        <v>2019</v>
      </c>
      <c r="D236" s="27" t="s">
        <v>689</v>
      </c>
      <c r="E236" s="27" t="s">
        <v>41</v>
      </c>
      <c r="F236" s="42" t="str" cm="1">
        <f t="array" ref="F236">_xlfn.IFS(E236="Bandung","BDG",E236="Surabaya","SBY",E236="Jakarta","JKT")</f>
        <v>SBY</v>
      </c>
      <c r="G236" s="27" t="s">
        <v>83</v>
      </c>
      <c r="H236" s="27" t="s">
        <v>386</v>
      </c>
      <c r="I236" s="27" t="s">
        <v>35</v>
      </c>
      <c r="J236" s="26">
        <v>43717</v>
      </c>
      <c r="K236" s="26">
        <v>43717</v>
      </c>
      <c r="L236" s="27">
        <f t="shared" si="20"/>
        <v>1</v>
      </c>
      <c r="M236" s="45">
        <v>780600</v>
      </c>
      <c r="N236" s="45">
        <v>1258950</v>
      </c>
      <c r="O236" s="27">
        <v>95</v>
      </c>
      <c r="P236" s="46">
        <f t="shared" si="21"/>
        <v>0.3799594900512332</v>
      </c>
      <c r="Q236" s="27">
        <v>5</v>
      </c>
      <c r="R236" s="44">
        <f t="shared" si="18"/>
        <v>6294750</v>
      </c>
      <c r="S236" s="29">
        <v>0.04</v>
      </c>
      <c r="T236" s="44">
        <f t="shared" si="22"/>
        <v>6042960</v>
      </c>
      <c r="U236" s="44">
        <f t="shared" si="23"/>
        <v>2139960</v>
      </c>
      <c r="V236" s="44"/>
    </row>
    <row r="237" spans="1:22" ht="14.5" x14ac:dyDescent="0.35">
      <c r="A237" s="47" t="str">
        <f t="shared" si="19"/>
        <v>SBY-PA-E1030-2019</v>
      </c>
      <c r="B237" s="26">
        <v>43649</v>
      </c>
      <c r="C237" s="42">
        <v>2019</v>
      </c>
      <c r="D237" s="27" t="s">
        <v>668</v>
      </c>
      <c r="E237" s="27" t="s">
        <v>41</v>
      </c>
      <c r="F237" s="42" t="str" cm="1">
        <f t="array" ref="F237">_xlfn.IFS(E237="Bandung","BDG",E237="Surabaya","SBY",E237="Jakarta","JKT")</f>
        <v>SBY</v>
      </c>
      <c r="G237" s="27" t="s">
        <v>42</v>
      </c>
      <c r="H237" s="27" t="s">
        <v>174</v>
      </c>
      <c r="I237" s="27" t="s">
        <v>39</v>
      </c>
      <c r="J237" s="26">
        <v>43592</v>
      </c>
      <c r="K237" s="26">
        <v>43651</v>
      </c>
      <c r="L237" s="27">
        <f t="shared" si="20"/>
        <v>2</v>
      </c>
      <c r="M237" s="45">
        <v>43500</v>
      </c>
      <c r="N237" s="45">
        <v>71400</v>
      </c>
      <c r="O237" s="27">
        <v>155</v>
      </c>
      <c r="P237" s="46">
        <f t="shared" si="21"/>
        <v>0.3907563025210084</v>
      </c>
      <c r="Q237" s="27">
        <v>23</v>
      </c>
      <c r="R237" s="44">
        <f t="shared" si="18"/>
        <v>1642200</v>
      </c>
      <c r="S237" s="29">
        <v>0.05</v>
      </c>
      <c r="T237" s="44">
        <f t="shared" si="22"/>
        <v>1560090</v>
      </c>
      <c r="U237" s="44">
        <f t="shared" si="23"/>
        <v>559590</v>
      </c>
      <c r="V237" s="44"/>
    </row>
    <row r="238" spans="1:22" ht="14.5" x14ac:dyDescent="0.35">
      <c r="A238" s="47" t="str">
        <f t="shared" si="19"/>
        <v>SBY-PR-E1036-2017</v>
      </c>
      <c r="B238" s="26">
        <v>42819</v>
      </c>
      <c r="C238" s="42">
        <v>2017</v>
      </c>
      <c r="D238" s="27" t="s">
        <v>327</v>
      </c>
      <c r="E238" s="27" t="s">
        <v>41</v>
      </c>
      <c r="F238" s="42" t="str" cm="1">
        <f t="array" ref="F238">_xlfn.IFS(E238="Bandung","BDG",E238="Surabaya","SBY",E238="Jakarta","JKT")</f>
        <v>SBY</v>
      </c>
      <c r="G238" s="27" t="s">
        <v>78</v>
      </c>
      <c r="H238" s="27" t="s">
        <v>234</v>
      </c>
      <c r="I238" s="27" t="s">
        <v>35</v>
      </c>
      <c r="J238" s="26" t="s">
        <v>1598</v>
      </c>
      <c r="K238" s="26">
        <v>42823</v>
      </c>
      <c r="L238" s="27">
        <f t="shared" si="20"/>
        <v>4</v>
      </c>
      <c r="M238" s="45">
        <v>275700</v>
      </c>
      <c r="N238" s="45">
        <v>437550</v>
      </c>
      <c r="O238" s="27">
        <v>17</v>
      </c>
      <c r="P238" s="46">
        <f t="shared" si="21"/>
        <v>0.36990058279053822</v>
      </c>
      <c r="Q238" s="27">
        <v>16</v>
      </c>
      <c r="R238" s="44">
        <f t="shared" si="18"/>
        <v>7000800</v>
      </c>
      <c r="S238" s="29">
        <v>7.0000000000000007E-2</v>
      </c>
      <c r="T238" s="44">
        <f t="shared" si="22"/>
        <v>6510744</v>
      </c>
      <c r="U238" s="44">
        <f t="shared" si="23"/>
        <v>2099544</v>
      </c>
      <c r="V238" s="44"/>
    </row>
    <row r="239" spans="1:22" ht="14.5" x14ac:dyDescent="0.35">
      <c r="A239" s="47" t="str">
        <f t="shared" si="19"/>
        <v>SBY-PR-E1036-2018</v>
      </c>
      <c r="B239" s="26">
        <v>43335</v>
      </c>
      <c r="C239" s="42">
        <v>2018</v>
      </c>
      <c r="D239" s="27" t="s">
        <v>327</v>
      </c>
      <c r="E239" s="27" t="s">
        <v>41</v>
      </c>
      <c r="F239" s="42" t="str" cm="1">
        <f t="array" ref="F239">_xlfn.IFS(E239="Bandung","BDG",E239="Surabaya","SBY",E239="Jakarta","JKT")</f>
        <v>SBY</v>
      </c>
      <c r="G239" s="27" t="s">
        <v>78</v>
      </c>
      <c r="H239" s="27" t="s">
        <v>376</v>
      </c>
      <c r="I239" s="27" t="s">
        <v>73</v>
      </c>
      <c r="J239" s="26" t="s">
        <v>1688</v>
      </c>
      <c r="K239" s="26">
        <v>43337</v>
      </c>
      <c r="L239" s="27">
        <f t="shared" si="20"/>
        <v>2</v>
      </c>
      <c r="M239" s="45">
        <v>62850.000000000007</v>
      </c>
      <c r="N239" s="45">
        <v>153450</v>
      </c>
      <c r="O239" s="27">
        <v>235</v>
      </c>
      <c r="P239" s="46">
        <f t="shared" si="21"/>
        <v>0.59042033235581626</v>
      </c>
      <c r="Q239" s="27">
        <v>46</v>
      </c>
      <c r="R239" s="44">
        <f t="shared" si="18"/>
        <v>7058700</v>
      </c>
      <c r="S239" s="29">
        <v>0.05</v>
      </c>
      <c r="T239" s="44">
        <f t="shared" si="22"/>
        <v>6705765</v>
      </c>
      <c r="U239" s="44">
        <f t="shared" si="23"/>
        <v>3814664.9999999995</v>
      </c>
      <c r="V239" s="44"/>
    </row>
    <row r="240" spans="1:22" ht="14.5" x14ac:dyDescent="0.35">
      <c r="A240" s="47" t="str">
        <f t="shared" si="19"/>
        <v>SBY-PR-E1036-2018</v>
      </c>
      <c r="B240" s="26">
        <v>43335</v>
      </c>
      <c r="C240" s="42">
        <v>2018</v>
      </c>
      <c r="D240" s="27" t="s">
        <v>327</v>
      </c>
      <c r="E240" s="27" t="s">
        <v>41</v>
      </c>
      <c r="F240" s="42" t="str" cm="1">
        <f t="array" ref="F240">_xlfn.IFS(E240="Bandung","BDG",E240="Surabaya","SBY",E240="Jakarta","JKT")</f>
        <v>SBY</v>
      </c>
      <c r="G240" s="27" t="s">
        <v>78</v>
      </c>
      <c r="H240" s="27" t="s">
        <v>214</v>
      </c>
      <c r="I240" s="27" t="s">
        <v>35</v>
      </c>
      <c r="J240" s="26">
        <v>43337</v>
      </c>
      <c r="K240" s="26">
        <v>43337</v>
      </c>
      <c r="L240" s="27">
        <f t="shared" si="20"/>
        <v>2</v>
      </c>
      <c r="M240" s="45">
        <v>54750</v>
      </c>
      <c r="N240" s="45">
        <v>89700</v>
      </c>
      <c r="O240" s="27">
        <v>255</v>
      </c>
      <c r="P240" s="46">
        <f t="shared" si="21"/>
        <v>0.38963210702341139</v>
      </c>
      <c r="Q240" s="27">
        <v>4</v>
      </c>
      <c r="R240" s="44">
        <f t="shared" si="18"/>
        <v>358800</v>
      </c>
      <c r="S240" s="29">
        <v>7.0000000000000007E-2</v>
      </c>
      <c r="T240" s="44">
        <f t="shared" si="22"/>
        <v>333684</v>
      </c>
      <c r="U240" s="44">
        <f t="shared" si="23"/>
        <v>114684</v>
      </c>
      <c r="V240" s="44"/>
    </row>
    <row r="241" spans="1:22" ht="14.5" x14ac:dyDescent="0.35">
      <c r="A241" s="47" t="str">
        <f t="shared" si="19"/>
        <v>SBY-PP-E1040-2018</v>
      </c>
      <c r="B241" s="26">
        <v>43203</v>
      </c>
      <c r="C241" s="42">
        <v>2018</v>
      </c>
      <c r="D241" s="27" t="s">
        <v>525</v>
      </c>
      <c r="E241" s="27" t="s">
        <v>41</v>
      </c>
      <c r="F241" s="42" t="str" cm="1">
        <f t="array" ref="F241">_xlfn.IFS(E241="Bandung","BDG",E241="Surabaya","SBY",E241="Jakarta","JKT")</f>
        <v>SBY</v>
      </c>
      <c r="G241" s="27" t="s">
        <v>160</v>
      </c>
      <c r="H241" s="27" t="s">
        <v>451</v>
      </c>
      <c r="I241" s="27" t="s">
        <v>35</v>
      </c>
      <c r="J241" s="26">
        <v>43204</v>
      </c>
      <c r="K241" s="26">
        <v>43204</v>
      </c>
      <c r="L241" s="27">
        <f t="shared" si="20"/>
        <v>1</v>
      </c>
      <c r="M241" s="45">
        <v>27300</v>
      </c>
      <c r="N241" s="45">
        <v>42600</v>
      </c>
      <c r="O241" s="27">
        <v>67</v>
      </c>
      <c r="P241" s="46">
        <f t="shared" si="21"/>
        <v>0.35915492957746481</v>
      </c>
      <c r="Q241" s="27">
        <v>27</v>
      </c>
      <c r="R241" s="44">
        <f t="shared" si="18"/>
        <v>1150200</v>
      </c>
      <c r="S241" s="29">
        <v>0.03</v>
      </c>
      <c r="T241" s="44">
        <f t="shared" si="22"/>
        <v>1115694</v>
      </c>
      <c r="U241" s="44">
        <f t="shared" si="23"/>
        <v>378594</v>
      </c>
      <c r="V241" s="44"/>
    </row>
    <row r="242" spans="1:22" ht="14.5" x14ac:dyDescent="0.35">
      <c r="A242" s="47" t="str">
        <f t="shared" si="19"/>
        <v>SBY-PP-E1040-2018</v>
      </c>
      <c r="B242" s="26">
        <v>43427</v>
      </c>
      <c r="C242" s="42">
        <v>2018</v>
      </c>
      <c r="D242" s="27" t="s">
        <v>525</v>
      </c>
      <c r="E242" s="27" t="s">
        <v>41</v>
      </c>
      <c r="F242" s="42" t="str" cm="1">
        <f t="array" ref="F242">_xlfn.IFS(E242="Bandung","BDG",E242="Surabaya","SBY",E242="Jakarta","JKT")</f>
        <v>SBY</v>
      </c>
      <c r="G242" s="27" t="s">
        <v>160</v>
      </c>
      <c r="H242" s="27" t="s">
        <v>311</v>
      </c>
      <c r="I242" s="27" t="s">
        <v>39</v>
      </c>
      <c r="J242" s="26">
        <v>43430</v>
      </c>
      <c r="K242" s="26">
        <v>43430</v>
      </c>
      <c r="L242" s="27">
        <f t="shared" si="20"/>
        <v>3</v>
      </c>
      <c r="M242" s="45">
        <v>26400</v>
      </c>
      <c r="N242" s="45">
        <v>44100</v>
      </c>
      <c r="O242" s="27">
        <v>219</v>
      </c>
      <c r="P242" s="46">
        <f t="shared" si="21"/>
        <v>0.40136054421768708</v>
      </c>
      <c r="Q242" s="27">
        <v>39</v>
      </c>
      <c r="R242" s="44">
        <f t="shared" si="18"/>
        <v>1719900</v>
      </c>
      <c r="S242" s="29">
        <v>0.04</v>
      </c>
      <c r="T242" s="44">
        <f t="shared" si="22"/>
        <v>1651104</v>
      </c>
      <c r="U242" s="44">
        <f t="shared" si="23"/>
        <v>621504</v>
      </c>
      <c r="V242" s="44"/>
    </row>
    <row r="243" spans="1:22" ht="14.5" x14ac:dyDescent="0.35">
      <c r="A243" s="47" t="str">
        <f t="shared" si="19"/>
        <v>JKT-PW-E1029-2017</v>
      </c>
      <c r="B243" s="26">
        <v>43017</v>
      </c>
      <c r="C243" s="42">
        <v>2017</v>
      </c>
      <c r="D243" s="27" t="s">
        <v>441</v>
      </c>
      <c r="E243" s="27" t="s">
        <v>32</v>
      </c>
      <c r="F243" s="42" t="str" cm="1">
        <f t="array" ref="F243">_xlfn.IFS(E243="Bandung","BDG",E243="Surabaya","SBY",E243="Jakarta","JKT")</f>
        <v>JKT</v>
      </c>
      <c r="G243" s="27" t="s">
        <v>37</v>
      </c>
      <c r="H243" s="27" t="s">
        <v>231</v>
      </c>
      <c r="I243" s="27" t="s">
        <v>73</v>
      </c>
      <c r="J243" s="26">
        <v>43018</v>
      </c>
      <c r="K243" s="26">
        <v>43018</v>
      </c>
      <c r="L243" s="27">
        <f t="shared" si="20"/>
        <v>1</v>
      </c>
      <c r="M243" s="45">
        <v>21900</v>
      </c>
      <c r="N243" s="45">
        <v>53550</v>
      </c>
      <c r="O243" s="27">
        <v>165</v>
      </c>
      <c r="P243" s="46">
        <f t="shared" si="21"/>
        <v>0.59103641456582634</v>
      </c>
      <c r="Q243" s="27">
        <v>46</v>
      </c>
      <c r="R243" s="44">
        <f t="shared" si="18"/>
        <v>2463300</v>
      </c>
      <c r="S243" s="29">
        <v>0.01</v>
      </c>
      <c r="T243" s="44">
        <f t="shared" si="22"/>
        <v>2438667</v>
      </c>
      <c r="U243" s="44">
        <f t="shared" si="23"/>
        <v>1431267</v>
      </c>
      <c r="V243" s="44"/>
    </row>
    <row r="244" spans="1:22" ht="14.5" x14ac:dyDescent="0.35">
      <c r="A244" s="47" t="str">
        <f t="shared" si="19"/>
        <v>JKT-PW-E1029-2018</v>
      </c>
      <c r="B244" s="26">
        <v>43440</v>
      </c>
      <c r="C244" s="42">
        <v>2018</v>
      </c>
      <c r="D244" s="27" t="s">
        <v>441</v>
      </c>
      <c r="E244" s="27" t="s">
        <v>32</v>
      </c>
      <c r="F244" s="42" t="str" cm="1">
        <f t="array" ref="F244">_xlfn.IFS(E244="Bandung","BDG",E244="Surabaya","SBY",E244="Jakarta","JKT")</f>
        <v>JKT</v>
      </c>
      <c r="G244" s="27" t="s">
        <v>37</v>
      </c>
      <c r="H244" s="27" t="s">
        <v>410</v>
      </c>
      <c r="I244" s="27" t="s">
        <v>35</v>
      </c>
      <c r="J244" s="26">
        <v>43293</v>
      </c>
      <c r="K244" s="26">
        <v>43441</v>
      </c>
      <c r="L244" s="27">
        <f t="shared" si="20"/>
        <v>1</v>
      </c>
      <c r="M244" s="45">
        <v>1263300</v>
      </c>
      <c r="N244" s="45">
        <v>3158250</v>
      </c>
      <c r="O244" s="27">
        <v>24</v>
      </c>
      <c r="P244" s="46">
        <f t="shared" si="21"/>
        <v>0.6</v>
      </c>
      <c r="Q244" s="27">
        <v>2</v>
      </c>
      <c r="R244" s="44">
        <f t="shared" si="18"/>
        <v>6316500</v>
      </c>
      <c r="S244" s="29">
        <v>0.05</v>
      </c>
      <c r="T244" s="44">
        <f t="shared" si="22"/>
        <v>6000675</v>
      </c>
      <c r="U244" s="44">
        <f t="shared" si="23"/>
        <v>3474075</v>
      </c>
      <c r="V244" s="44"/>
    </row>
    <row r="245" spans="1:22" ht="14.5" x14ac:dyDescent="0.35">
      <c r="A245" s="47" t="str">
        <f t="shared" si="19"/>
        <v>JKT-PW-E1029-2019</v>
      </c>
      <c r="B245" s="26">
        <v>43612</v>
      </c>
      <c r="C245" s="42">
        <v>2019</v>
      </c>
      <c r="D245" s="27" t="s">
        <v>441</v>
      </c>
      <c r="E245" s="27" t="s">
        <v>32</v>
      </c>
      <c r="F245" s="42" t="str" cm="1">
        <f t="array" ref="F245">_xlfn.IFS(E245="Bandung","BDG",E245="Surabaya","SBY",E245="Jakarta","JKT")</f>
        <v>JKT</v>
      </c>
      <c r="G245" s="27" t="s">
        <v>37</v>
      </c>
      <c r="H245" s="27" t="s">
        <v>305</v>
      </c>
      <c r="I245" s="27" t="s">
        <v>39</v>
      </c>
      <c r="J245" s="26" t="s">
        <v>1731</v>
      </c>
      <c r="K245" s="26">
        <v>43613</v>
      </c>
      <c r="L245" s="27">
        <f t="shared" si="20"/>
        <v>1</v>
      </c>
      <c r="M245" s="45">
        <v>78300</v>
      </c>
      <c r="N245" s="45">
        <v>147750</v>
      </c>
      <c r="O245" s="27">
        <v>109</v>
      </c>
      <c r="P245" s="46">
        <f t="shared" si="21"/>
        <v>0.4700507614213198</v>
      </c>
      <c r="Q245" s="27">
        <v>48</v>
      </c>
      <c r="R245" s="44">
        <f t="shared" si="18"/>
        <v>7092000</v>
      </c>
      <c r="S245" s="29">
        <v>0.09</v>
      </c>
      <c r="T245" s="44">
        <f t="shared" si="22"/>
        <v>6453720</v>
      </c>
      <c r="U245" s="44">
        <f t="shared" si="23"/>
        <v>2695320</v>
      </c>
      <c r="V245" s="44"/>
    </row>
    <row r="246" spans="1:22" ht="14.5" x14ac:dyDescent="0.35">
      <c r="A246" s="47" t="str">
        <f t="shared" si="19"/>
        <v>JKT-PW-E1029-2019</v>
      </c>
      <c r="B246" s="26">
        <v>43612</v>
      </c>
      <c r="C246" s="42">
        <v>2019</v>
      </c>
      <c r="D246" s="27" t="s">
        <v>441</v>
      </c>
      <c r="E246" s="27" t="s">
        <v>32</v>
      </c>
      <c r="F246" s="42" t="str" cm="1">
        <f t="array" ref="F246">_xlfn.IFS(E246="Bandung","BDG",E246="Surabaya","SBY",E246="Jakarta","JKT")</f>
        <v>JKT</v>
      </c>
      <c r="G246" s="27" t="s">
        <v>37</v>
      </c>
      <c r="H246" s="27" t="s">
        <v>311</v>
      </c>
      <c r="I246" s="27" t="s">
        <v>39</v>
      </c>
      <c r="J246" s="26">
        <v>43613</v>
      </c>
      <c r="K246" s="26">
        <v>43613</v>
      </c>
      <c r="L246" s="27">
        <f t="shared" si="20"/>
        <v>1</v>
      </c>
      <c r="M246" s="45">
        <v>26400</v>
      </c>
      <c r="N246" s="45">
        <v>44100</v>
      </c>
      <c r="O246" s="27">
        <v>180</v>
      </c>
      <c r="P246" s="46">
        <f t="shared" si="21"/>
        <v>0.40136054421768708</v>
      </c>
      <c r="Q246" s="27">
        <v>18</v>
      </c>
      <c r="R246" s="44">
        <f t="shared" si="18"/>
        <v>793800</v>
      </c>
      <c r="S246" s="29">
        <v>0.01</v>
      </c>
      <c r="T246" s="44">
        <f t="shared" si="22"/>
        <v>785862</v>
      </c>
      <c r="U246" s="44">
        <f t="shared" si="23"/>
        <v>310662</v>
      </c>
      <c r="V246" s="44"/>
    </row>
    <row r="247" spans="1:22" ht="14.5" x14ac:dyDescent="0.35">
      <c r="A247" s="47" t="str">
        <f t="shared" si="19"/>
        <v>SBY-PJ-E1039-2017</v>
      </c>
      <c r="B247" s="26">
        <v>42771</v>
      </c>
      <c r="C247" s="42">
        <v>2017</v>
      </c>
      <c r="D247" s="27" t="s">
        <v>292</v>
      </c>
      <c r="E247" s="27" t="s">
        <v>41</v>
      </c>
      <c r="F247" s="42" t="str" cm="1">
        <f t="array" ref="F247">_xlfn.IFS(E247="Bandung","BDG",E247="Surabaya","SBY",E247="Jakarta","JKT")</f>
        <v>SBY</v>
      </c>
      <c r="G247" s="27" t="s">
        <v>103</v>
      </c>
      <c r="H247" s="27" t="s">
        <v>293</v>
      </c>
      <c r="I247" s="27" t="s">
        <v>35</v>
      </c>
      <c r="J247" s="26">
        <v>42774</v>
      </c>
      <c r="K247" s="26">
        <v>42949</v>
      </c>
      <c r="L247" s="27">
        <f t="shared" si="20"/>
        <v>178</v>
      </c>
      <c r="M247" s="45">
        <v>67950</v>
      </c>
      <c r="N247" s="45">
        <v>109500</v>
      </c>
      <c r="O247" s="27">
        <v>331</v>
      </c>
      <c r="P247" s="46">
        <f t="shared" si="21"/>
        <v>0.37945205479452054</v>
      </c>
      <c r="Q247" s="27">
        <v>31</v>
      </c>
      <c r="R247" s="44">
        <f t="shared" si="18"/>
        <v>3394500</v>
      </c>
      <c r="S247" s="29">
        <v>0.03</v>
      </c>
      <c r="T247" s="44">
        <f t="shared" si="22"/>
        <v>3292665</v>
      </c>
      <c r="U247" s="44">
        <f t="shared" si="23"/>
        <v>1186215</v>
      </c>
      <c r="V247" s="44"/>
    </row>
    <row r="248" spans="1:22" ht="14.5" x14ac:dyDescent="0.35">
      <c r="A248" s="47" t="str">
        <f t="shared" si="19"/>
        <v>SBY-PB-E1032-2016</v>
      </c>
      <c r="B248" s="26">
        <v>42591</v>
      </c>
      <c r="C248" s="42">
        <v>2016</v>
      </c>
      <c r="D248" s="27" t="s">
        <v>93</v>
      </c>
      <c r="E248" s="27" t="s">
        <v>41</v>
      </c>
      <c r="F248" s="42" t="str" cm="1">
        <f t="array" ref="F248">_xlfn.IFS(E248="Bandung","BDG",E248="Surabaya","SBY",E248="Jakarta","JKT")</f>
        <v>SBY</v>
      </c>
      <c r="G248" s="27" t="s">
        <v>53</v>
      </c>
      <c r="H248" s="27" t="s">
        <v>94</v>
      </c>
      <c r="I248" s="27" t="s">
        <v>35</v>
      </c>
      <c r="J248" s="26">
        <v>42651</v>
      </c>
      <c r="K248" s="26">
        <v>42592</v>
      </c>
      <c r="L248" s="27">
        <f t="shared" si="20"/>
        <v>1</v>
      </c>
      <c r="M248" s="45">
        <v>114150</v>
      </c>
      <c r="N248" s="45">
        <v>184200</v>
      </c>
      <c r="O248" s="27">
        <v>56</v>
      </c>
      <c r="P248" s="46">
        <f t="shared" si="21"/>
        <v>0.38029315960912052</v>
      </c>
      <c r="Q248" s="27">
        <v>29</v>
      </c>
      <c r="R248" s="44">
        <f t="shared" si="18"/>
        <v>5341800</v>
      </c>
      <c r="S248" s="29">
        <v>0</v>
      </c>
      <c r="T248" s="44">
        <f t="shared" si="22"/>
        <v>5341800</v>
      </c>
      <c r="U248" s="44">
        <f t="shared" si="23"/>
        <v>2031450</v>
      </c>
      <c r="V248" s="44"/>
    </row>
    <row r="249" spans="1:22" ht="14.5" x14ac:dyDescent="0.35">
      <c r="A249" s="47" t="str">
        <f t="shared" si="19"/>
        <v>SBY-PM-E1034-2018</v>
      </c>
      <c r="B249" s="26">
        <v>43133</v>
      </c>
      <c r="C249" s="42">
        <v>2018</v>
      </c>
      <c r="D249" s="27" t="s">
        <v>495</v>
      </c>
      <c r="E249" s="27" t="s">
        <v>41</v>
      </c>
      <c r="F249" s="42" t="str" cm="1">
        <f t="array" ref="F249">_xlfn.IFS(E249="Bandung","BDG",E249="Surabaya","SBY",E249="Jakarta","JKT")</f>
        <v>SBY</v>
      </c>
      <c r="G249" s="27" t="s">
        <v>65</v>
      </c>
      <c r="H249" s="27" t="s">
        <v>496</v>
      </c>
      <c r="I249" s="27" t="s">
        <v>39</v>
      </c>
      <c r="J249" s="26">
        <v>43161</v>
      </c>
      <c r="K249" s="26">
        <v>43134</v>
      </c>
      <c r="L249" s="27">
        <f t="shared" si="20"/>
        <v>1</v>
      </c>
      <c r="M249" s="45">
        <v>67200</v>
      </c>
      <c r="N249" s="45">
        <v>122100.00000000001</v>
      </c>
      <c r="O249" s="27">
        <v>69</v>
      </c>
      <c r="P249" s="46">
        <f t="shared" si="21"/>
        <v>0.44963144963144969</v>
      </c>
      <c r="Q249" s="27">
        <v>46</v>
      </c>
      <c r="R249" s="44">
        <f t="shared" si="18"/>
        <v>5616600.0000000009</v>
      </c>
      <c r="S249" s="29">
        <v>0</v>
      </c>
      <c r="T249" s="44">
        <f t="shared" si="22"/>
        <v>5616600.0000000009</v>
      </c>
      <c r="U249" s="44">
        <f t="shared" si="23"/>
        <v>2525400.0000000009</v>
      </c>
      <c r="V249" s="44"/>
    </row>
    <row r="250" spans="1:22" ht="14.5" x14ac:dyDescent="0.35">
      <c r="A250" s="47" t="str">
        <f t="shared" si="19"/>
        <v>SBY-PW-E1036-2016</v>
      </c>
      <c r="B250" s="26">
        <v>42658</v>
      </c>
      <c r="C250" s="42">
        <v>2016</v>
      </c>
      <c r="D250" s="27" t="s">
        <v>192</v>
      </c>
      <c r="E250" s="27" t="s">
        <v>41</v>
      </c>
      <c r="F250" s="42" t="str" cm="1">
        <f t="array" ref="F250">_xlfn.IFS(E250="Bandung","BDG",E250="Surabaya","SBY",E250="Jakarta","JKT")</f>
        <v>SBY</v>
      </c>
      <c r="G250" s="27" t="s">
        <v>78</v>
      </c>
      <c r="H250" s="27" t="s">
        <v>193</v>
      </c>
      <c r="I250" s="27" t="s">
        <v>35</v>
      </c>
      <c r="J250" s="26">
        <v>42660</v>
      </c>
      <c r="K250" s="26">
        <v>42660</v>
      </c>
      <c r="L250" s="27">
        <f t="shared" si="20"/>
        <v>2</v>
      </c>
      <c r="M250" s="45">
        <v>252750.00000000003</v>
      </c>
      <c r="N250" s="45">
        <v>407700</v>
      </c>
      <c r="O250" s="27">
        <v>122</v>
      </c>
      <c r="P250" s="46">
        <f t="shared" si="21"/>
        <v>0.38005886681383361</v>
      </c>
      <c r="Q250" s="27">
        <v>34</v>
      </c>
      <c r="R250" s="44">
        <f t="shared" si="18"/>
        <v>13861800</v>
      </c>
      <c r="S250" s="29">
        <v>0.1</v>
      </c>
      <c r="T250" s="44">
        <f t="shared" si="22"/>
        <v>12475620</v>
      </c>
      <c r="U250" s="44">
        <f t="shared" si="23"/>
        <v>3882119.9999999981</v>
      </c>
      <c r="V250" s="44"/>
    </row>
    <row r="251" spans="1:22" ht="14.5" x14ac:dyDescent="0.35">
      <c r="A251" s="47" t="str">
        <f t="shared" si="19"/>
        <v>SBY-PW-E1036-2018</v>
      </c>
      <c r="B251" s="26">
        <v>43463</v>
      </c>
      <c r="C251" s="42">
        <v>2018</v>
      </c>
      <c r="D251" s="27" t="s">
        <v>192</v>
      </c>
      <c r="E251" s="27" t="s">
        <v>41</v>
      </c>
      <c r="F251" s="42" t="str" cm="1">
        <f t="array" ref="F251">_xlfn.IFS(E251="Bandung","BDG",E251="Surabaya","SBY",E251="Jakarta","JKT")</f>
        <v>SBY</v>
      </c>
      <c r="G251" s="27" t="s">
        <v>78</v>
      </c>
      <c r="H251" s="27" t="s">
        <v>314</v>
      </c>
      <c r="I251" s="27" t="s">
        <v>73</v>
      </c>
      <c r="J251" s="26">
        <v>43525</v>
      </c>
      <c r="K251" s="26">
        <v>43468</v>
      </c>
      <c r="L251" s="27">
        <f t="shared" si="20"/>
        <v>5</v>
      </c>
      <c r="M251" s="45">
        <v>52650</v>
      </c>
      <c r="N251" s="45">
        <v>128550</v>
      </c>
      <c r="O251" s="27">
        <v>71</v>
      </c>
      <c r="P251" s="46">
        <f t="shared" si="21"/>
        <v>0.59043173862310383</v>
      </c>
      <c r="Q251" s="27">
        <v>49</v>
      </c>
      <c r="R251" s="44">
        <f t="shared" si="18"/>
        <v>6298950</v>
      </c>
      <c r="S251" s="29">
        <v>0.01</v>
      </c>
      <c r="T251" s="44">
        <f t="shared" si="22"/>
        <v>6235960.5</v>
      </c>
      <c r="U251" s="44">
        <f t="shared" si="23"/>
        <v>3656110.5</v>
      </c>
      <c r="V251" s="44"/>
    </row>
    <row r="252" spans="1:22" ht="14.5" x14ac:dyDescent="0.35">
      <c r="A252" s="47" t="str">
        <f t="shared" si="19"/>
        <v>SBY-PH-E1040-2017</v>
      </c>
      <c r="B252" s="26">
        <v>42846</v>
      </c>
      <c r="C252" s="42">
        <v>2017</v>
      </c>
      <c r="D252" s="27" t="s">
        <v>342</v>
      </c>
      <c r="E252" s="27" t="s">
        <v>41</v>
      </c>
      <c r="F252" s="42" t="str" cm="1">
        <f t="array" ref="F252">_xlfn.IFS(E252="Bandung","BDG",E252="Surabaya","SBY",E252="Jakarta","JKT")</f>
        <v>SBY</v>
      </c>
      <c r="G252" s="27" t="s">
        <v>160</v>
      </c>
      <c r="H252" s="27" t="s">
        <v>343</v>
      </c>
      <c r="I252" s="27" t="s">
        <v>39</v>
      </c>
      <c r="J252" s="26">
        <v>42847</v>
      </c>
      <c r="K252" s="26">
        <v>42847</v>
      </c>
      <c r="L252" s="27">
        <f t="shared" si="20"/>
        <v>1</v>
      </c>
      <c r="M252" s="45">
        <v>34650</v>
      </c>
      <c r="N252" s="45">
        <v>56700</v>
      </c>
      <c r="O252" s="27">
        <v>244</v>
      </c>
      <c r="P252" s="46">
        <f t="shared" si="21"/>
        <v>0.3888888888888889</v>
      </c>
      <c r="Q252" s="27">
        <v>47</v>
      </c>
      <c r="R252" s="44">
        <f t="shared" si="18"/>
        <v>2664900</v>
      </c>
      <c r="S252" s="29">
        <v>0.02</v>
      </c>
      <c r="T252" s="44">
        <f t="shared" si="22"/>
        <v>2611602</v>
      </c>
      <c r="U252" s="44">
        <f t="shared" si="23"/>
        <v>983052</v>
      </c>
      <c r="V252" s="44"/>
    </row>
    <row r="253" spans="1:22" ht="14.5" x14ac:dyDescent="0.35">
      <c r="A253" s="47" t="str">
        <f t="shared" si="19"/>
        <v>SBY-PP-E1040-2017</v>
      </c>
      <c r="B253" s="26">
        <v>43044</v>
      </c>
      <c r="C253" s="42">
        <v>2017</v>
      </c>
      <c r="D253" s="27" t="s">
        <v>458</v>
      </c>
      <c r="E253" s="27" t="s">
        <v>41</v>
      </c>
      <c r="F253" s="42" t="str" cm="1">
        <f t="array" ref="F253">_xlfn.IFS(E253="Bandung","BDG",E253="Surabaya","SBY",E253="Jakarta","JKT")</f>
        <v>SBY</v>
      </c>
      <c r="G253" s="27" t="s">
        <v>160</v>
      </c>
      <c r="H253" s="27" t="s">
        <v>178</v>
      </c>
      <c r="I253" s="27" t="s">
        <v>39</v>
      </c>
      <c r="J253" s="26">
        <v>43046</v>
      </c>
      <c r="K253" s="26">
        <v>42927</v>
      </c>
      <c r="L253" s="27">
        <f t="shared" si="20"/>
        <v>-117</v>
      </c>
      <c r="M253" s="45">
        <v>24000</v>
      </c>
      <c r="N253" s="45">
        <v>39300</v>
      </c>
      <c r="O253" s="27">
        <v>286</v>
      </c>
      <c r="P253" s="46">
        <f t="shared" si="21"/>
        <v>0.38931297709923662</v>
      </c>
      <c r="Q253" s="27">
        <v>25</v>
      </c>
      <c r="R253" s="44">
        <f t="shared" si="18"/>
        <v>982500</v>
      </c>
      <c r="S253" s="29">
        <v>0.09</v>
      </c>
      <c r="T253" s="44">
        <f t="shared" si="22"/>
        <v>894075</v>
      </c>
      <c r="U253" s="44">
        <f t="shared" si="23"/>
        <v>294075</v>
      </c>
      <c r="V253" s="44"/>
    </row>
    <row r="254" spans="1:22" ht="14.5" x14ac:dyDescent="0.35">
      <c r="A254" s="47" t="str">
        <f t="shared" si="19"/>
        <v>SBY-PP-E1040-2019</v>
      </c>
      <c r="B254" s="26">
        <v>43704</v>
      </c>
      <c r="C254" s="42">
        <v>2019</v>
      </c>
      <c r="D254" s="27" t="s">
        <v>458</v>
      </c>
      <c r="E254" s="27" t="s">
        <v>41</v>
      </c>
      <c r="F254" s="42" t="str" cm="1">
        <f t="array" ref="F254">_xlfn.IFS(E254="Bandung","BDG",E254="Surabaya","SBY",E254="Jakarta","JKT")</f>
        <v>SBY</v>
      </c>
      <c r="G254" s="27" t="s">
        <v>160</v>
      </c>
      <c r="H254" s="27" t="s">
        <v>303</v>
      </c>
      <c r="I254" s="27" t="s">
        <v>35</v>
      </c>
      <c r="J254" s="26">
        <v>43706</v>
      </c>
      <c r="K254" s="26">
        <v>43706</v>
      </c>
      <c r="L254" s="27">
        <f t="shared" si="20"/>
        <v>2</v>
      </c>
      <c r="M254" s="45">
        <v>34350</v>
      </c>
      <c r="N254" s="45">
        <v>55350</v>
      </c>
      <c r="O254" s="27">
        <v>234</v>
      </c>
      <c r="P254" s="46">
        <f t="shared" si="21"/>
        <v>0.37940379403794039</v>
      </c>
      <c r="Q254" s="27">
        <v>47</v>
      </c>
      <c r="R254" s="44">
        <f t="shared" si="18"/>
        <v>2601450</v>
      </c>
      <c r="S254" s="29">
        <v>0.05</v>
      </c>
      <c r="T254" s="44">
        <f t="shared" si="22"/>
        <v>2471377.5</v>
      </c>
      <c r="U254" s="44">
        <f t="shared" si="23"/>
        <v>856927.5</v>
      </c>
      <c r="V254" s="44"/>
    </row>
    <row r="255" spans="1:22" ht="14.5" x14ac:dyDescent="0.35">
      <c r="A255" s="47" t="str">
        <f t="shared" si="19"/>
        <v>JKT-PS-E1028-2019</v>
      </c>
      <c r="B255" s="26">
        <v>43658</v>
      </c>
      <c r="C255" s="42">
        <v>2019</v>
      </c>
      <c r="D255" s="27" t="s">
        <v>672</v>
      </c>
      <c r="E255" s="27" t="s">
        <v>32</v>
      </c>
      <c r="F255" s="42" t="str" cm="1">
        <f t="array" ref="F255">_xlfn.IFS(E255="Bandung","BDG",E255="Surabaya","SBY",E255="Jakarta","JKT")</f>
        <v>JKT</v>
      </c>
      <c r="G255" s="27" t="s">
        <v>33</v>
      </c>
      <c r="H255" s="27" t="s">
        <v>221</v>
      </c>
      <c r="I255" s="27" t="s">
        <v>35</v>
      </c>
      <c r="J255" s="26">
        <v>43660</v>
      </c>
      <c r="K255" s="26">
        <v>43660</v>
      </c>
      <c r="L255" s="27">
        <f t="shared" si="20"/>
        <v>2</v>
      </c>
      <c r="M255" s="45">
        <v>29100</v>
      </c>
      <c r="N255" s="45">
        <v>46200</v>
      </c>
      <c r="O255" s="27">
        <v>301</v>
      </c>
      <c r="P255" s="46">
        <f t="shared" si="21"/>
        <v>0.37012987012987014</v>
      </c>
      <c r="Q255" s="27">
        <v>42</v>
      </c>
      <c r="R255" s="44">
        <f t="shared" si="18"/>
        <v>1940400</v>
      </c>
      <c r="S255" s="29">
        <v>0.09</v>
      </c>
      <c r="T255" s="44">
        <f t="shared" si="22"/>
        <v>1765764</v>
      </c>
      <c r="U255" s="44">
        <f t="shared" si="23"/>
        <v>543564</v>
      </c>
      <c r="V255" s="44"/>
    </row>
    <row r="256" spans="1:22" ht="14.5" x14ac:dyDescent="0.35">
      <c r="A256" s="47" t="str">
        <f t="shared" si="19"/>
        <v>SBY-PR-E1033-2020</v>
      </c>
      <c r="B256" s="26">
        <v>43879</v>
      </c>
      <c r="C256" s="42">
        <v>2020</v>
      </c>
      <c r="D256" s="27" t="s">
        <v>717</v>
      </c>
      <c r="E256" s="27" t="s">
        <v>41</v>
      </c>
      <c r="F256" s="42" t="str" cm="1">
        <f t="array" ref="F256">_xlfn.IFS(E256="Bandung","BDG",E256="Surabaya","SBY",E256="Jakarta","JKT")</f>
        <v>SBY</v>
      </c>
      <c r="G256" s="27" t="s">
        <v>60</v>
      </c>
      <c r="H256" s="27" t="s">
        <v>239</v>
      </c>
      <c r="I256" s="27" t="s">
        <v>35</v>
      </c>
      <c r="J256" s="26">
        <v>43886</v>
      </c>
      <c r="K256" s="26">
        <v>43886</v>
      </c>
      <c r="L256" s="27">
        <f t="shared" si="20"/>
        <v>7</v>
      </c>
      <c r="M256" s="45">
        <v>52500</v>
      </c>
      <c r="N256" s="45">
        <v>86100</v>
      </c>
      <c r="O256" s="27">
        <v>185</v>
      </c>
      <c r="P256" s="46">
        <f t="shared" si="21"/>
        <v>0.3902439024390244</v>
      </c>
      <c r="Q256" s="27">
        <v>5</v>
      </c>
      <c r="R256" s="44">
        <f t="shared" si="18"/>
        <v>430500</v>
      </c>
      <c r="S256" s="29">
        <v>7.0000000000000007E-2</v>
      </c>
      <c r="T256" s="44">
        <f t="shared" si="22"/>
        <v>400365</v>
      </c>
      <c r="U256" s="44">
        <f t="shared" si="23"/>
        <v>137865</v>
      </c>
      <c r="V256" s="44"/>
    </row>
    <row r="257" spans="1:22" ht="14.5" x14ac:dyDescent="0.35">
      <c r="A257" s="47" t="str">
        <f t="shared" si="19"/>
        <v>JKT-PM-E1028-2016</v>
      </c>
      <c r="B257" s="26">
        <v>42518</v>
      </c>
      <c r="C257" s="42">
        <v>2016</v>
      </c>
      <c r="D257" s="27" t="s">
        <v>44</v>
      </c>
      <c r="E257" s="27" t="s">
        <v>32</v>
      </c>
      <c r="F257" s="42" t="str" cm="1">
        <f t="array" ref="F257">_xlfn.IFS(E257="Bandung","BDG",E257="Surabaya","SBY",E257="Jakarta","JKT")</f>
        <v>JKT</v>
      </c>
      <c r="G257" s="27" t="s">
        <v>33</v>
      </c>
      <c r="H257" s="27" t="s">
        <v>45</v>
      </c>
      <c r="I257" s="27" t="s">
        <v>46</v>
      </c>
      <c r="J257" s="26">
        <v>42520</v>
      </c>
      <c r="K257" s="26">
        <v>42520</v>
      </c>
      <c r="L257" s="27">
        <f t="shared" si="20"/>
        <v>2</v>
      </c>
      <c r="M257" s="45">
        <v>1125000</v>
      </c>
      <c r="N257" s="45">
        <v>1814550</v>
      </c>
      <c r="O257" s="27">
        <v>167</v>
      </c>
      <c r="P257" s="46">
        <f t="shared" si="21"/>
        <v>0.38001157311730183</v>
      </c>
      <c r="Q257" s="27">
        <v>6</v>
      </c>
      <c r="R257" s="44">
        <f t="shared" si="18"/>
        <v>10887300</v>
      </c>
      <c r="S257" s="29">
        <v>0.08</v>
      </c>
      <c r="T257" s="44">
        <f t="shared" si="22"/>
        <v>10016316</v>
      </c>
      <c r="U257" s="44">
        <f t="shared" si="23"/>
        <v>3266316</v>
      </c>
      <c r="V257" s="44"/>
    </row>
    <row r="258" spans="1:22" ht="14.5" x14ac:dyDescent="0.35">
      <c r="A258" s="47" t="str">
        <f t="shared" si="19"/>
        <v>JKT-PM-E1028-2018</v>
      </c>
      <c r="B258" s="26">
        <v>43403</v>
      </c>
      <c r="C258" s="42">
        <v>2018</v>
      </c>
      <c r="D258" s="27" t="s">
        <v>44</v>
      </c>
      <c r="E258" s="27" t="s">
        <v>32</v>
      </c>
      <c r="F258" s="42" t="str" cm="1">
        <f t="array" ref="F258">_xlfn.IFS(E258="Bandung","BDG",E258="Surabaya","SBY",E258="Jakarta","JKT")</f>
        <v>JKT</v>
      </c>
      <c r="G258" s="27" t="s">
        <v>33</v>
      </c>
      <c r="H258" s="27" t="s">
        <v>229</v>
      </c>
      <c r="I258" s="27" t="s">
        <v>35</v>
      </c>
      <c r="J258" s="26">
        <v>43111</v>
      </c>
      <c r="K258" s="26">
        <v>43405</v>
      </c>
      <c r="L258" s="27">
        <f t="shared" si="20"/>
        <v>2</v>
      </c>
      <c r="M258" s="45">
        <v>33900</v>
      </c>
      <c r="N258" s="45">
        <v>53700</v>
      </c>
      <c r="O258" s="27">
        <v>199</v>
      </c>
      <c r="P258" s="46">
        <f t="shared" si="21"/>
        <v>0.36871508379888268</v>
      </c>
      <c r="Q258" s="27">
        <v>43</v>
      </c>
      <c r="R258" s="44">
        <f t="shared" si="18"/>
        <v>2309100</v>
      </c>
      <c r="S258" s="29">
        <v>0.08</v>
      </c>
      <c r="T258" s="44">
        <f t="shared" si="22"/>
        <v>2124372</v>
      </c>
      <c r="U258" s="44">
        <f t="shared" si="23"/>
        <v>666672</v>
      </c>
      <c r="V258" s="44"/>
    </row>
    <row r="259" spans="1:22" ht="14.5" x14ac:dyDescent="0.35">
      <c r="A259" s="47" t="str">
        <f t="shared" si="19"/>
        <v>SBY-PH-E1031-2016</v>
      </c>
      <c r="B259" s="26">
        <v>42519</v>
      </c>
      <c r="C259" s="42">
        <v>2016</v>
      </c>
      <c r="D259" s="27" t="s">
        <v>47</v>
      </c>
      <c r="E259" s="27" t="s">
        <v>41</v>
      </c>
      <c r="F259" s="42" t="str" cm="1">
        <f t="array" ref="F259">_xlfn.IFS(E259="Bandung","BDG",E259="Surabaya","SBY",E259="Jakarta","JKT")</f>
        <v>SBY</v>
      </c>
      <c r="G259" s="27" t="s">
        <v>48</v>
      </c>
      <c r="H259" s="27" t="s">
        <v>49</v>
      </c>
      <c r="I259" s="27" t="s">
        <v>39</v>
      </c>
      <c r="J259" s="26" t="s">
        <v>1555</v>
      </c>
      <c r="K259" s="26">
        <v>42520</v>
      </c>
      <c r="L259" s="27">
        <f t="shared" si="20"/>
        <v>1</v>
      </c>
      <c r="M259" s="45">
        <v>13500</v>
      </c>
      <c r="N259" s="45">
        <v>31500</v>
      </c>
      <c r="O259" s="27">
        <v>134</v>
      </c>
      <c r="P259" s="46">
        <f t="shared" si="21"/>
        <v>0.5714285714285714</v>
      </c>
      <c r="Q259" s="27">
        <v>17</v>
      </c>
      <c r="R259" s="44">
        <f t="shared" si="18"/>
        <v>535500</v>
      </c>
      <c r="S259" s="29">
        <v>0.03</v>
      </c>
      <c r="T259" s="44">
        <f t="shared" si="22"/>
        <v>519435</v>
      </c>
      <c r="U259" s="44">
        <f t="shared" si="23"/>
        <v>289935</v>
      </c>
      <c r="V259" s="44"/>
    </row>
    <row r="260" spans="1:22" ht="14.5" x14ac:dyDescent="0.35">
      <c r="A260" s="47" t="str">
        <f t="shared" si="19"/>
        <v>SBY-PR-E1040-2017</v>
      </c>
      <c r="B260" s="26">
        <v>42794</v>
      </c>
      <c r="C260" s="42">
        <v>2017</v>
      </c>
      <c r="D260" s="27" t="s">
        <v>310</v>
      </c>
      <c r="E260" s="27" t="s">
        <v>41</v>
      </c>
      <c r="F260" s="42" t="str" cm="1">
        <f t="array" ref="F260">_xlfn.IFS(E260="Bandung","BDG",E260="Surabaya","SBY",E260="Jakarta","JKT")</f>
        <v>SBY</v>
      </c>
      <c r="G260" s="27" t="s">
        <v>160</v>
      </c>
      <c r="H260" s="27" t="s">
        <v>311</v>
      </c>
      <c r="I260" s="27" t="s">
        <v>39</v>
      </c>
      <c r="J260" s="26">
        <v>42738</v>
      </c>
      <c r="K260" s="26">
        <v>42795</v>
      </c>
      <c r="L260" s="27">
        <f t="shared" si="20"/>
        <v>1</v>
      </c>
      <c r="M260" s="45">
        <v>26400</v>
      </c>
      <c r="N260" s="45">
        <v>44100</v>
      </c>
      <c r="O260" s="27">
        <v>162</v>
      </c>
      <c r="P260" s="46">
        <f t="shared" si="21"/>
        <v>0.40136054421768708</v>
      </c>
      <c r="Q260" s="27">
        <v>23</v>
      </c>
      <c r="R260" s="44">
        <f t="shared" ref="R260:R323" si="24">N260*Q260</f>
        <v>1014300</v>
      </c>
      <c r="S260" s="29">
        <v>7.0000000000000007E-2</v>
      </c>
      <c r="T260" s="44">
        <f t="shared" si="22"/>
        <v>943298.99999999988</v>
      </c>
      <c r="U260" s="44">
        <f t="shared" si="23"/>
        <v>336098.99999999988</v>
      </c>
      <c r="V260" s="44"/>
    </row>
    <row r="261" spans="1:22" ht="14.5" x14ac:dyDescent="0.35">
      <c r="A261" s="47" t="str">
        <f t="shared" ref="A261:A324" si="25">_xlfn.CONCAT(F261,"-",LEFT(D261,1),MID(D261,FIND(" ",D261)+1,1),"-",G261,"-",C261)</f>
        <v>SBY-PR-E1040-2019</v>
      </c>
      <c r="B261" s="26">
        <v>43518</v>
      </c>
      <c r="C261" s="42">
        <v>2019</v>
      </c>
      <c r="D261" s="27" t="s">
        <v>310</v>
      </c>
      <c r="E261" s="27" t="s">
        <v>41</v>
      </c>
      <c r="F261" s="42" t="str" cm="1">
        <f t="array" ref="F261">_xlfn.IFS(E261="Bandung","BDG",E261="Surabaya","SBY",E261="Jakarta","JKT")</f>
        <v>SBY</v>
      </c>
      <c r="G261" s="27" t="s">
        <v>160</v>
      </c>
      <c r="H261" s="27" t="s">
        <v>241</v>
      </c>
      <c r="I261" s="27" t="s">
        <v>39</v>
      </c>
      <c r="J261" s="26">
        <v>43522</v>
      </c>
      <c r="K261" s="26">
        <v>43522</v>
      </c>
      <c r="L261" s="27">
        <f t="shared" ref="L261:L324" si="26">K261-B261</f>
        <v>4</v>
      </c>
      <c r="M261" s="45">
        <v>13950</v>
      </c>
      <c r="N261" s="45">
        <v>22200</v>
      </c>
      <c r="O261" s="27">
        <v>242</v>
      </c>
      <c r="P261" s="46">
        <f t="shared" ref="P261:P324" si="27">(N261-M261)/N261</f>
        <v>0.3716216216216216</v>
      </c>
      <c r="Q261" s="27">
        <v>19</v>
      </c>
      <c r="R261" s="44">
        <f t="shared" si="24"/>
        <v>421800</v>
      </c>
      <c r="S261" s="29">
        <v>0</v>
      </c>
      <c r="T261" s="44">
        <f t="shared" ref="T261:T324" si="28">R261*(1-S261)</f>
        <v>421800</v>
      </c>
      <c r="U261" s="44">
        <f t="shared" ref="U261:U324" si="29">T261-(M261*Q261)</f>
        <v>156750</v>
      </c>
      <c r="V261" s="44"/>
    </row>
    <row r="262" spans="1:22" ht="14.5" x14ac:dyDescent="0.35">
      <c r="A262" s="47" t="str">
        <f t="shared" si="25"/>
        <v>SBY-PM-E1037-2016</v>
      </c>
      <c r="B262" s="26">
        <v>42596</v>
      </c>
      <c r="C262" s="42">
        <v>2016</v>
      </c>
      <c r="D262" s="27" t="s">
        <v>110</v>
      </c>
      <c r="E262" s="27" t="s">
        <v>41</v>
      </c>
      <c r="F262" s="42" t="str" cm="1">
        <f t="array" ref="F262">_xlfn.IFS(E262="Bandung","BDG",E262="Surabaya","SBY",E262="Jakarta","JKT")</f>
        <v>SBY</v>
      </c>
      <c r="G262" s="27" t="s">
        <v>83</v>
      </c>
      <c r="H262" s="27" t="s">
        <v>58</v>
      </c>
      <c r="I262" s="27" t="s">
        <v>35</v>
      </c>
      <c r="J262" s="26">
        <v>42597</v>
      </c>
      <c r="K262" s="26">
        <v>42597</v>
      </c>
      <c r="L262" s="27">
        <f t="shared" si="26"/>
        <v>1</v>
      </c>
      <c r="M262" s="45">
        <v>814350</v>
      </c>
      <c r="N262" s="45">
        <v>1357200</v>
      </c>
      <c r="O262" s="27">
        <v>122</v>
      </c>
      <c r="P262" s="46">
        <f t="shared" si="27"/>
        <v>0.39997789566755082</v>
      </c>
      <c r="Q262" s="27">
        <v>15</v>
      </c>
      <c r="R262" s="44">
        <f t="shared" si="24"/>
        <v>20358000</v>
      </c>
      <c r="S262" s="29">
        <v>0.05</v>
      </c>
      <c r="T262" s="44">
        <f t="shared" si="28"/>
        <v>19340100</v>
      </c>
      <c r="U262" s="44">
        <f t="shared" si="29"/>
        <v>7124850</v>
      </c>
      <c r="V262" s="44"/>
    </row>
    <row r="263" spans="1:22" ht="14.5" x14ac:dyDescent="0.35">
      <c r="A263" s="47" t="str">
        <f t="shared" si="25"/>
        <v>SBY-PM-E1037-2020</v>
      </c>
      <c r="B263" s="26">
        <v>43841</v>
      </c>
      <c r="C263" s="42">
        <v>2020</v>
      </c>
      <c r="D263" s="27" t="s">
        <v>110</v>
      </c>
      <c r="E263" s="27" t="s">
        <v>41</v>
      </c>
      <c r="F263" s="42" t="str" cm="1">
        <f t="array" ref="F263">_xlfn.IFS(E263="Bandung","BDG",E263="Surabaya","SBY",E263="Jakarta","JKT")</f>
        <v>SBY</v>
      </c>
      <c r="G263" s="27" t="s">
        <v>83</v>
      </c>
      <c r="H263" s="27" t="s">
        <v>171</v>
      </c>
      <c r="I263" s="27" t="s">
        <v>35</v>
      </c>
      <c r="J263" s="26" t="s">
        <v>1764</v>
      </c>
      <c r="K263" s="26">
        <v>43843</v>
      </c>
      <c r="L263" s="27">
        <f t="shared" si="26"/>
        <v>2</v>
      </c>
      <c r="M263" s="45">
        <v>297450</v>
      </c>
      <c r="N263" s="45">
        <v>464700</v>
      </c>
      <c r="O263" s="27">
        <v>177</v>
      </c>
      <c r="P263" s="46">
        <f t="shared" si="27"/>
        <v>0.35990961910910263</v>
      </c>
      <c r="Q263" s="27">
        <v>30</v>
      </c>
      <c r="R263" s="44">
        <f t="shared" si="24"/>
        <v>13941000</v>
      </c>
      <c r="S263" s="29">
        <v>0.03</v>
      </c>
      <c r="T263" s="44">
        <f t="shared" si="28"/>
        <v>13522770</v>
      </c>
      <c r="U263" s="44">
        <f t="shared" si="29"/>
        <v>4599270</v>
      </c>
      <c r="V263" s="44"/>
    </row>
    <row r="264" spans="1:22" ht="14.5" x14ac:dyDescent="0.35">
      <c r="A264" s="47" t="str">
        <f t="shared" si="25"/>
        <v>SBY-PS-E1038-2017</v>
      </c>
      <c r="B264" s="26">
        <v>42919</v>
      </c>
      <c r="C264" s="42">
        <v>2017</v>
      </c>
      <c r="D264" s="27" t="s">
        <v>393</v>
      </c>
      <c r="E264" s="27" t="s">
        <v>41</v>
      </c>
      <c r="F264" s="42" t="str" cm="1">
        <f t="array" ref="F264">_xlfn.IFS(E264="Bandung","BDG",E264="Surabaya","SBY",E264="Jakarta","JKT")</f>
        <v>SBY</v>
      </c>
      <c r="G264" s="27" t="s">
        <v>98</v>
      </c>
      <c r="H264" s="27" t="s">
        <v>221</v>
      </c>
      <c r="I264" s="27" t="s">
        <v>35</v>
      </c>
      <c r="J264" s="26">
        <v>42924</v>
      </c>
      <c r="K264" s="26">
        <v>42954</v>
      </c>
      <c r="L264" s="27">
        <f t="shared" si="26"/>
        <v>35</v>
      </c>
      <c r="M264" s="45">
        <v>29100</v>
      </c>
      <c r="N264" s="45">
        <v>46200</v>
      </c>
      <c r="O264" s="27">
        <v>259</v>
      </c>
      <c r="P264" s="46">
        <f t="shared" si="27"/>
        <v>0.37012987012987014</v>
      </c>
      <c r="Q264" s="27">
        <v>5</v>
      </c>
      <c r="R264" s="44">
        <f t="shared" si="24"/>
        <v>231000</v>
      </c>
      <c r="S264" s="29">
        <v>0.06</v>
      </c>
      <c r="T264" s="44">
        <f t="shared" si="28"/>
        <v>217140</v>
      </c>
      <c r="U264" s="44">
        <f t="shared" si="29"/>
        <v>71640</v>
      </c>
      <c r="V264" s="44"/>
    </row>
    <row r="265" spans="1:22" ht="14.5" x14ac:dyDescent="0.35">
      <c r="A265" s="47" t="str">
        <f t="shared" si="25"/>
        <v>SBY-PD-E1032-2018</v>
      </c>
      <c r="B265" s="26">
        <v>43144</v>
      </c>
      <c r="C265" s="42">
        <v>2018</v>
      </c>
      <c r="D265" s="27" t="s">
        <v>501</v>
      </c>
      <c r="E265" s="27" t="s">
        <v>41</v>
      </c>
      <c r="F265" s="42" t="str" cm="1">
        <f t="array" ref="F265">_xlfn.IFS(E265="Bandung","BDG",E265="Surabaya","SBY",E265="Jakarta","JKT")</f>
        <v>SBY</v>
      </c>
      <c r="G265" s="27" t="s">
        <v>53</v>
      </c>
      <c r="H265" s="27" t="s">
        <v>368</v>
      </c>
      <c r="I265" s="27" t="s">
        <v>35</v>
      </c>
      <c r="J265" s="26" t="s">
        <v>1654</v>
      </c>
      <c r="K265" s="26">
        <v>43146</v>
      </c>
      <c r="L265" s="27">
        <f t="shared" si="26"/>
        <v>2</v>
      </c>
      <c r="M265" s="45">
        <v>781050</v>
      </c>
      <c r="N265" s="45">
        <v>1259700</v>
      </c>
      <c r="O265" s="27">
        <v>104</v>
      </c>
      <c r="P265" s="46">
        <f t="shared" si="27"/>
        <v>0.37997142176708743</v>
      </c>
      <c r="Q265" s="27">
        <v>24</v>
      </c>
      <c r="R265" s="44">
        <f t="shared" si="24"/>
        <v>30232800</v>
      </c>
      <c r="S265" s="29">
        <v>0.05</v>
      </c>
      <c r="T265" s="44">
        <f t="shared" si="28"/>
        <v>28721160</v>
      </c>
      <c r="U265" s="44">
        <f t="shared" si="29"/>
        <v>9975960</v>
      </c>
      <c r="V265" s="44"/>
    </row>
    <row r="266" spans="1:22" ht="14.5" x14ac:dyDescent="0.35">
      <c r="A266" s="47" t="str">
        <f t="shared" si="25"/>
        <v>SBY-PD-E1032-2020</v>
      </c>
      <c r="B266" s="26">
        <v>43901</v>
      </c>
      <c r="C266" s="42">
        <v>2020</v>
      </c>
      <c r="D266" s="27" t="s">
        <v>501</v>
      </c>
      <c r="E266" s="27" t="s">
        <v>41</v>
      </c>
      <c r="F266" s="42" t="str" cm="1">
        <f t="array" ref="F266">_xlfn.IFS(E266="Bandung","BDG",E266="Surabaya","SBY",E266="Jakarta","JKT")</f>
        <v>SBY</v>
      </c>
      <c r="G266" s="27" t="s">
        <v>53</v>
      </c>
      <c r="H266" s="27" t="s">
        <v>209</v>
      </c>
      <c r="I266" s="27" t="s">
        <v>46</v>
      </c>
      <c r="J266" s="26">
        <v>44138</v>
      </c>
      <c r="K266" s="26">
        <v>43901</v>
      </c>
      <c r="L266" s="27">
        <f t="shared" si="26"/>
        <v>0</v>
      </c>
      <c r="M266" s="45">
        <v>4184850</v>
      </c>
      <c r="N266" s="45">
        <v>6749850</v>
      </c>
      <c r="O266" s="27">
        <v>299</v>
      </c>
      <c r="P266" s="46">
        <f t="shared" si="27"/>
        <v>0.38000844463210293</v>
      </c>
      <c r="Q266" s="27">
        <v>18</v>
      </c>
      <c r="R266" s="44">
        <f t="shared" si="24"/>
        <v>121497300</v>
      </c>
      <c r="S266" s="29">
        <v>0.09</v>
      </c>
      <c r="T266" s="44">
        <f t="shared" si="28"/>
        <v>110562543</v>
      </c>
      <c r="U266" s="44">
        <f t="shared" si="29"/>
        <v>35235243</v>
      </c>
      <c r="V266" s="44"/>
    </row>
    <row r="267" spans="1:22" ht="14.5" x14ac:dyDescent="0.35">
      <c r="A267" s="47" t="str">
        <f t="shared" si="25"/>
        <v>SBY-PU-E1036-2018</v>
      </c>
      <c r="B267" s="26">
        <v>43274</v>
      </c>
      <c r="C267" s="42">
        <v>2018</v>
      </c>
      <c r="D267" s="27" t="s">
        <v>556</v>
      </c>
      <c r="E267" s="27" t="s">
        <v>41</v>
      </c>
      <c r="F267" s="42" t="str" cm="1">
        <f t="array" ref="F267">_xlfn.IFS(E267="Bandung","BDG",E267="Surabaya","SBY",E267="Jakarta","JKT")</f>
        <v>SBY</v>
      </c>
      <c r="G267" s="27" t="s">
        <v>78</v>
      </c>
      <c r="H267" s="27" t="s">
        <v>130</v>
      </c>
      <c r="I267" s="27" t="s">
        <v>39</v>
      </c>
      <c r="J267" s="26">
        <v>43275</v>
      </c>
      <c r="K267" s="26">
        <v>43275</v>
      </c>
      <c r="L267" s="27">
        <f t="shared" si="26"/>
        <v>1</v>
      </c>
      <c r="M267" s="45">
        <v>56250</v>
      </c>
      <c r="N267" s="45">
        <v>106200</v>
      </c>
      <c r="O267" s="27">
        <v>310</v>
      </c>
      <c r="P267" s="46">
        <f t="shared" si="27"/>
        <v>0.47033898305084748</v>
      </c>
      <c r="Q267" s="27">
        <v>12</v>
      </c>
      <c r="R267" s="44">
        <f t="shared" si="24"/>
        <v>1274400</v>
      </c>
      <c r="S267" s="29">
        <v>0.1</v>
      </c>
      <c r="T267" s="44">
        <f t="shared" si="28"/>
        <v>1146960</v>
      </c>
      <c r="U267" s="44">
        <f t="shared" si="29"/>
        <v>471960</v>
      </c>
      <c r="V267" s="44"/>
    </row>
    <row r="268" spans="1:22" ht="14.5" x14ac:dyDescent="0.35">
      <c r="A268" s="47" t="str">
        <f t="shared" si="25"/>
        <v>JKT-PN-E1029-2016</v>
      </c>
      <c r="B268" s="26">
        <v>42592</v>
      </c>
      <c r="C268" s="42">
        <v>2016</v>
      </c>
      <c r="D268" s="27" t="s">
        <v>95</v>
      </c>
      <c r="E268" s="27" t="s">
        <v>32</v>
      </c>
      <c r="F268" s="42" t="str" cm="1">
        <f t="array" ref="F268">_xlfn.IFS(E268="Bandung","BDG",E268="Surabaya","SBY",E268="Jakarta","JKT")</f>
        <v>JKT</v>
      </c>
      <c r="G268" s="27" t="s">
        <v>37</v>
      </c>
      <c r="H268" s="27" t="s">
        <v>96</v>
      </c>
      <c r="I268" s="27" t="s">
        <v>35</v>
      </c>
      <c r="J268" s="26">
        <v>42594</v>
      </c>
      <c r="K268" s="26">
        <v>42712</v>
      </c>
      <c r="L268" s="27">
        <f t="shared" si="26"/>
        <v>120</v>
      </c>
      <c r="M268" s="45">
        <v>23850</v>
      </c>
      <c r="N268" s="45">
        <v>39150</v>
      </c>
      <c r="O268" s="27">
        <v>139</v>
      </c>
      <c r="P268" s="46">
        <f t="shared" si="27"/>
        <v>0.39080459770114945</v>
      </c>
      <c r="Q268" s="27">
        <v>9</v>
      </c>
      <c r="R268" s="44">
        <f t="shared" si="24"/>
        <v>352350</v>
      </c>
      <c r="S268" s="29">
        <v>0.06</v>
      </c>
      <c r="T268" s="44">
        <f t="shared" si="28"/>
        <v>331209</v>
      </c>
      <c r="U268" s="44">
        <f t="shared" si="29"/>
        <v>116559</v>
      </c>
      <c r="V268" s="44"/>
    </row>
    <row r="269" spans="1:22" ht="14.5" x14ac:dyDescent="0.35">
      <c r="A269" s="47" t="str">
        <f t="shared" si="25"/>
        <v>JKT-PN-E1029-2016</v>
      </c>
      <c r="B269" s="26">
        <v>42671</v>
      </c>
      <c r="C269" s="42">
        <v>2016</v>
      </c>
      <c r="D269" s="27" t="s">
        <v>95</v>
      </c>
      <c r="E269" s="27" t="s">
        <v>32</v>
      </c>
      <c r="F269" s="42" t="str" cm="1">
        <f t="array" ref="F269">_xlfn.IFS(E269="Bandung","BDG",E269="Surabaya","SBY",E269="Jakarta","JKT")</f>
        <v>JKT</v>
      </c>
      <c r="G269" s="27" t="s">
        <v>37</v>
      </c>
      <c r="H269" s="27" t="s">
        <v>174</v>
      </c>
      <c r="I269" s="27" t="s">
        <v>39</v>
      </c>
      <c r="J269" s="26">
        <v>42671</v>
      </c>
      <c r="K269" s="26">
        <v>42671</v>
      </c>
      <c r="L269" s="27">
        <f t="shared" si="26"/>
        <v>0</v>
      </c>
      <c r="M269" s="45">
        <v>43500</v>
      </c>
      <c r="N269" s="45">
        <v>71400</v>
      </c>
      <c r="O269" s="27">
        <v>132</v>
      </c>
      <c r="P269" s="46">
        <f t="shared" si="27"/>
        <v>0.3907563025210084</v>
      </c>
      <c r="Q269" s="27">
        <v>13</v>
      </c>
      <c r="R269" s="44">
        <f t="shared" si="24"/>
        <v>928200</v>
      </c>
      <c r="S269" s="29">
        <v>7.0000000000000007E-2</v>
      </c>
      <c r="T269" s="44">
        <f t="shared" si="28"/>
        <v>863226</v>
      </c>
      <c r="U269" s="44">
        <f t="shared" si="29"/>
        <v>297726</v>
      </c>
      <c r="V269" s="44"/>
    </row>
    <row r="270" spans="1:22" ht="14.5" x14ac:dyDescent="0.35">
      <c r="A270" s="47" t="str">
        <f t="shared" si="25"/>
        <v>JKT-PN-E1029-2016</v>
      </c>
      <c r="B270" s="26">
        <v>42720</v>
      </c>
      <c r="C270" s="42">
        <v>2016</v>
      </c>
      <c r="D270" s="27" t="s">
        <v>95</v>
      </c>
      <c r="E270" s="27" t="s">
        <v>32</v>
      </c>
      <c r="F270" s="42" t="str" cm="1">
        <f t="array" ref="F270">_xlfn.IFS(E270="Bandung","BDG",E270="Surabaya","SBY",E270="Jakarta","JKT")</f>
        <v>JKT</v>
      </c>
      <c r="G270" s="27" t="s">
        <v>37</v>
      </c>
      <c r="H270" s="27" t="s">
        <v>231</v>
      </c>
      <c r="I270" s="27" t="s">
        <v>73</v>
      </c>
      <c r="J270" s="26">
        <v>42722</v>
      </c>
      <c r="K270" s="26">
        <v>42722</v>
      </c>
      <c r="L270" s="27">
        <f t="shared" si="26"/>
        <v>2</v>
      </c>
      <c r="M270" s="45">
        <v>21900</v>
      </c>
      <c r="N270" s="45">
        <v>53550</v>
      </c>
      <c r="O270" s="27">
        <v>119</v>
      </c>
      <c r="P270" s="46">
        <f t="shared" si="27"/>
        <v>0.59103641456582634</v>
      </c>
      <c r="Q270" s="27">
        <v>26</v>
      </c>
      <c r="R270" s="44">
        <f t="shared" si="24"/>
        <v>1392300</v>
      </c>
      <c r="S270" s="29">
        <v>0.04</v>
      </c>
      <c r="T270" s="44">
        <f t="shared" si="28"/>
        <v>1336608</v>
      </c>
      <c r="U270" s="44">
        <f t="shared" si="29"/>
        <v>767208</v>
      </c>
      <c r="V270" s="44"/>
    </row>
    <row r="271" spans="1:22" ht="14.5" x14ac:dyDescent="0.35">
      <c r="A271" s="47" t="str">
        <f t="shared" si="25"/>
        <v>JKT-PN-E1029-2017</v>
      </c>
      <c r="B271" s="26">
        <v>42931</v>
      </c>
      <c r="C271" s="42">
        <v>2017</v>
      </c>
      <c r="D271" s="27" t="s">
        <v>95</v>
      </c>
      <c r="E271" s="27" t="s">
        <v>32</v>
      </c>
      <c r="F271" s="42" t="str" cm="1">
        <f t="array" ref="F271">_xlfn.IFS(E271="Bandung","BDG",E271="Surabaya","SBY",E271="Jakarta","JKT")</f>
        <v>JKT</v>
      </c>
      <c r="G271" s="27" t="s">
        <v>37</v>
      </c>
      <c r="H271" s="27" t="s">
        <v>396</v>
      </c>
      <c r="I271" s="27" t="s">
        <v>35</v>
      </c>
      <c r="J271" s="26" t="s">
        <v>1614</v>
      </c>
      <c r="K271" s="26">
        <v>42933</v>
      </c>
      <c r="L271" s="27">
        <f t="shared" si="26"/>
        <v>2</v>
      </c>
      <c r="M271" s="45">
        <v>106950</v>
      </c>
      <c r="N271" s="45">
        <v>314700</v>
      </c>
      <c r="O271" s="27">
        <v>53</v>
      </c>
      <c r="P271" s="46">
        <f t="shared" si="27"/>
        <v>0.66015252621544329</v>
      </c>
      <c r="Q271" s="27">
        <v>39</v>
      </c>
      <c r="R271" s="44">
        <f t="shared" si="24"/>
        <v>12273300</v>
      </c>
      <c r="S271" s="29">
        <v>0.04</v>
      </c>
      <c r="T271" s="44">
        <f t="shared" si="28"/>
        <v>11782368</v>
      </c>
      <c r="U271" s="44">
        <f t="shared" si="29"/>
        <v>7611318</v>
      </c>
      <c r="V271" s="44"/>
    </row>
    <row r="272" spans="1:22" ht="14.5" x14ac:dyDescent="0.35">
      <c r="A272" s="47" t="str">
        <f t="shared" si="25"/>
        <v>SBY-PA-E1037-2016</v>
      </c>
      <c r="B272" s="26">
        <v>42715</v>
      </c>
      <c r="C272" s="42">
        <v>2016</v>
      </c>
      <c r="D272" s="27" t="s">
        <v>255</v>
      </c>
      <c r="E272" s="27" t="s">
        <v>41</v>
      </c>
      <c r="F272" s="42" t="str" cm="1">
        <f t="array" ref="F272">_xlfn.IFS(E272="Bandung","BDG",E272="Surabaya","SBY",E272="Jakarta","JKT")</f>
        <v>SBY</v>
      </c>
      <c r="G272" s="27" t="s">
        <v>83</v>
      </c>
      <c r="H272" s="27" t="s">
        <v>154</v>
      </c>
      <c r="I272" s="27" t="s">
        <v>35</v>
      </c>
      <c r="J272" s="26">
        <v>42720</v>
      </c>
      <c r="K272" s="26">
        <v>42720</v>
      </c>
      <c r="L272" s="27">
        <f t="shared" si="26"/>
        <v>5</v>
      </c>
      <c r="M272" s="45">
        <v>908850</v>
      </c>
      <c r="N272" s="45">
        <v>1514700</v>
      </c>
      <c r="O272" s="27">
        <v>102</v>
      </c>
      <c r="P272" s="46">
        <f t="shared" si="27"/>
        <v>0.39998019409784114</v>
      </c>
      <c r="Q272" s="27">
        <v>12</v>
      </c>
      <c r="R272" s="44">
        <f t="shared" si="24"/>
        <v>18176400</v>
      </c>
      <c r="S272" s="29">
        <v>0.04</v>
      </c>
      <c r="T272" s="44">
        <f t="shared" si="28"/>
        <v>17449344</v>
      </c>
      <c r="U272" s="44">
        <f t="shared" si="29"/>
        <v>6543144</v>
      </c>
      <c r="V272" s="44"/>
    </row>
    <row r="273" spans="1:22" ht="14.5" x14ac:dyDescent="0.35">
      <c r="A273" s="47" t="str">
        <f t="shared" si="25"/>
        <v>SBY-PA-E1037-2016</v>
      </c>
      <c r="B273" s="26">
        <v>42716</v>
      </c>
      <c r="C273" s="42">
        <v>2016</v>
      </c>
      <c r="D273" s="27" t="s">
        <v>255</v>
      </c>
      <c r="E273" s="27" t="s">
        <v>41</v>
      </c>
      <c r="F273" s="42" t="str" cm="1">
        <f t="array" ref="F273">_xlfn.IFS(E273="Bandung","BDG",E273="Surabaya","SBY",E273="Jakarta","JKT")</f>
        <v>SBY</v>
      </c>
      <c r="G273" s="27" t="s">
        <v>83</v>
      </c>
      <c r="H273" s="27" t="s">
        <v>256</v>
      </c>
      <c r="I273" s="27" t="s">
        <v>35</v>
      </c>
      <c r="J273" s="26">
        <v>42718</v>
      </c>
      <c r="K273" s="26">
        <v>42718</v>
      </c>
      <c r="L273" s="27">
        <f t="shared" si="26"/>
        <v>2</v>
      </c>
      <c r="M273" s="45">
        <v>36750</v>
      </c>
      <c r="N273" s="45">
        <v>58350</v>
      </c>
      <c r="O273" s="27">
        <v>193</v>
      </c>
      <c r="P273" s="46">
        <f t="shared" si="27"/>
        <v>0.37017994858611825</v>
      </c>
      <c r="Q273" s="27">
        <v>32</v>
      </c>
      <c r="R273" s="44">
        <f t="shared" si="24"/>
        <v>1867200</v>
      </c>
      <c r="S273" s="29">
        <v>0.09</v>
      </c>
      <c r="T273" s="44">
        <f t="shared" si="28"/>
        <v>1699152</v>
      </c>
      <c r="U273" s="44">
        <f t="shared" si="29"/>
        <v>523152</v>
      </c>
      <c r="V273" s="44"/>
    </row>
    <row r="274" spans="1:22" ht="14.5" x14ac:dyDescent="0.35">
      <c r="A274" s="47" t="str">
        <f t="shared" si="25"/>
        <v>SBY-OP-E1038-2018</v>
      </c>
      <c r="B274" s="26">
        <v>43338</v>
      </c>
      <c r="C274" s="42">
        <v>2018</v>
      </c>
      <c r="D274" s="27" t="s">
        <v>584</v>
      </c>
      <c r="E274" s="27" t="s">
        <v>41</v>
      </c>
      <c r="F274" s="42" t="str" cm="1">
        <f t="array" ref="F274">_xlfn.IFS(E274="Bandung","BDG",E274="Surabaya","SBY",E274="Jakarta","JKT")</f>
        <v>SBY</v>
      </c>
      <c r="G274" s="27" t="s">
        <v>98</v>
      </c>
      <c r="H274" s="27" t="s">
        <v>168</v>
      </c>
      <c r="I274" s="27" t="s">
        <v>35</v>
      </c>
      <c r="J274" s="26" t="s">
        <v>1690</v>
      </c>
      <c r="K274" s="26">
        <v>43340</v>
      </c>
      <c r="L274" s="27">
        <f t="shared" si="26"/>
        <v>2</v>
      </c>
      <c r="M274" s="45">
        <v>2682450</v>
      </c>
      <c r="N274" s="45">
        <v>6238200</v>
      </c>
      <c r="O274" s="27">
        <v>40</v>
      </c>
      <c r="P274" s="46">
        <f t="shared" si="27"/>
        <v>0.56999615273636628</v>
      </c>
      <c r="Q274" s="27">
        <v>11</v>
      </c>
      <c r="R274" s="44">
        <f t="shared" si="24"/>
        <v>68620200</v>
      </c>
      <c r="S274" s="29">
        <v>0.06</v>
      </c>
      <c r="T274" s="44">
        <f t="shared" si="28"/>
        <v>64502988</v>
      </c>
      <c r="U274" s="44">
        <f t="shared" si="29"/>
        <v>34996038</v>
      </c>
      <c r="V274" s="44"/>
    </row>
    <row r="275" spans="1:22" ht="14.5" x14ac:dyDescent="0.35">
      <c r="A275" s="47" t="str">
        <f t="shared" si="25"/>
        <v>SBY-OP-E1032-2017</v>
      </c>
      <c r="B275" s="26">
        <v>42944</v>
      </c>
      <c r="C275" s="42">
        <v>2017</v>
      </c>
      <c r="D275" s="27" t="s">
        <v>405</v>
      </c>
      <c r="E275" s="27" t="s">
        <v>41</v>
      </c>
      <c r="F275" s="42" t="str" cm="1">
        <f t="array" ref="F275">_xlfn.IFS(E275="Bandung","BDG",E275="Surabaya","SBY",E275="Jakarta","JKT")</f>
        <v>SBY</v>
      </c>
      <c r="G275" s="27" t="s">
        <v>53</v>
      </c>
      <c r="H275" s="27" t="s">
        <v>211</v>
      </c>
      <c r="I275" s="27" t="s">
        <v>35</v>
      </c>
      <c r="J275" s="26" t="s">
        <v>1618</v>
      </c>
      <c r="K275" s="26">
        <v>42945</v>
      </c>
      <c r="L275" s="27">
        <f t="shared" si="26"/>
        <v>1</v>
      </c>
      <c r="M275" s="45">
        <v>97650</v>
      </c>
      <c r="N275" s="45">
        <v>464700</v>
      </c>
      <c r="O275" s="27">
        <v>196</v>
      </c>
      <c r="P275" s="46">
        <f t="shared" si="27"/>
        <v>0.78986442866365392</v>
      </c>
      <c r="Q275" s="27">
        <v>36</v>
      </c>
      <c r="R275" s="44">
        <f t="shared" si="24"/>
        <v>16729200</v>
      </c>
      <c r="S275" s="29">
        <v>0</v>
      </c>
      <c r="T275" s="44">
        <f t="shared" si="28"/>
        <v>16729200</v>
      </c>
      <c r="U275" s="44">
        <f t="shared" si="29"/>
        <v>13213800</v>
      </c>
      <c r="V275" s="44"/>
    </row>
    <row r="276" spans="1:22" ht="14.5" x14ac:dyDescent="0.35">
      <c r="A276" s="47" t="str">
        <f t="shared" si="25"/>
        <v>SBY-OS-E1038-2018</v>
      </c>
      <c r="B276" s="26">
        <v>43206</v>
      </c>
      <c r="C276" s="42">
        <v>2018</v>
      </c>
      <c r="D276" s="27" t="s">
        <v>529</v>
      </c>
      <c r="E276" s="27" t="s">
        <v>41</v>
      </c>
      <c r="F276" s="42" t="str" cm="1">
        <f t="array" ref="F276">_xlfn.IFS(E276="Bandung","BDG",E276="Surabaya","SBY",E276="Jakarta","JKT")</f>
        <v>SBY</v>
      </c>
      <c r="G276" s="27" t="s">
        <v>98</v>
      </c>
      <c r="H276" s="27" t="s">
        <v>530</v>
      </c>
      <c r="I276" s="27" t="s">
        <v>39</v>
      </c>
      <c r="J276" s="26" t="s">
        <v>1659</v>
      </c>
      <c r="K276" s="26">
        <v>43208</v>
      </c>
      <c r="L276" s="27">
        <f t="shared" si="26"/>
        <v>2</v>
      </c>
      <c r="M276" s="45">
        <v>40200</v>
      </c>
      <c r="N276" s="45">
        <v>91200</v>
      </c>
      <c r="O276" s="27">
        <v>79</v>
      </c>
      <c r="P276" s="46">
        <f t="shared" si="27"/>
        <v>0.55921052631578949</v>
      </c>
      <c r="Q276" s="27">
        <v>30</v>
      </c>
      <c r="R276" s="44">
        <f t="shared" si="24"/>
        <v>2736000</v>
      </c>
      <c r="S276" s="29">
        <v>0.04</v>
      </c>
      <c r="T276" s="44">
        <f t="shared" si="28"/>
        <v>2626560</v>
      </c>
      <c r="U276" s="44">
        <f t="shared" si="29"/>
        <v>1420560</v>
      </c>
      <c r="V276" s="44"/>
    </row>
    <row r="277" spans="1:22" ht="14.5" x14ac:dyDescent="0.35">
      <c r="A277" s="47" t="str">
        <f t="shared" si="25"/>
        <v>SBY-OS-E1038-2018</v>
      </c>
      <c r="B277" s="26">
        <v>43419</v>
      </c>
      <c r="C277" s="42">
        <v>2018</v>
      </c>
      <c r="D277" s="27" t="s">
        <v>529</v>
      </c>
      <c r="E277" s="27" t="s">
        <v>41</v>
      </c>
      <c r="F277" s="42" t="str" cm="1">
        <f t="array" ref="F277">_xlfn.IFS(E277="Bandung","BDG",E277="Surabaya","SBY",E277="Jakarta","JKT")</f>
        <v>SBY</v>
      </c>
      <c r="G277" s="27" t="s">
        <v>98</v>
      </c>
      <c r="H277" s="27" t="s">
        <v>185</v>
      </c>
      <c r="I277" s="27" t="s">
        <v>35</v>
      </c>
      <c r="J277" s="26" t="s">
        <v>1703</v>
      </c>
      <c r="K277" s="26">
        <v>43424</v>
      </c>
      <c r="L277" s="27">
        <f t="shared" si="26"/>
        <v>5</v>
      </c>
      <c r="M277" s="45">
        <v>19950</v>
      </c>
      <c r="N277" s="45">
        <v>31200</v>
      </c>
      <c r="O277" s="27">
        <v>167</v>
      </c>
      <c r="P277" s="46">
        <f t="shared" si="27"/>
        <v>0.36057692307692307</v>
      </c>
      <c r="Q277" s="27">
        <v>20</v>
      </c>
      <c r="R277" s="44">
        <f t="shared" si="24"/>
        <v>624000</v>
      </c>
      <c r="S277" s="29">
        <v>0.1</v>
      </c>
      <c r="T277" s="44">
        <f t="shared" si="28"/>
        <v>561600</v>
      </c>
      <c r="U277" s="44">
        <f t="shared" si="29"/>
        <v>162600</v>
      </c>
      <c r="V277" s="44"/>
    </row>
    <row r="278" spans="1:22" ht="14.5" x14ac:dyDescent="0.35">
      <c r="A278" s="47" t="str">
        <f t="shared" si="25"/>
        <v>SBY-OS-E1038-2019</v>
      </c>
      <c r="B278" s="26">
        <v>43581</v>
      </c>
      <c r="C278" s="42">
        <v>2019</v>
      </c>
      <c r="D278" s="27" t="s">
        <v>529</v>
      </c>
      <c r="E278" s="27" t="s">
        <v>41</v>
      </c>
      <c r="F278" s="42" t="str" cm="1">
        <f t="array" ref="F278">_xlfn.IFS(E278="Bandung","BDG",E278="Surabaya","SBY",E278="Jakarta","JKT")</f>
        <v>SBY</v>
      </c>
      <c r="G278" s="27" t="s">
        <v>98</v>
      </c>
      <c r="H278" s="27" t="s">
        <v>134</v>
      </c>
      <c r="I278" s="27" t="s">
        <v>35</v>
      </c>
      <c r="J278" s="26">
        <v>43583</v>
      </c>
      <c r="K278" s="26">
        <v>43583</v>
      </c>
      <c r="L278" s="27">
        <f t="shared" si="26"/>
        <v>2</v>
      </c>
      <c r="M278" s="45">
        <v>204600</v>
      </c>
      <c r="N278" s="45">
        <v>314700</v>
      </c>
      <c r="O278" s="27">
        <v>114</v>
      </c>
      <c r="P278" s="46">
        <f t="shared" si="27"/>
        <v>0.34985700667302194</v>
      </c>
      <c r="Q278" s="27">
        <v>34</v>
      </c>
      <c r="R278" s="44">
        <f t="shared" si="24"/>
        <v>10699800</v>
      </c>
      <c r="S278" s="29">
        <v>7.0000000000000007E-2</v>
      </c>
      <c r="T278" s="44">
        <f t="shared" si="28"/>
        <v>9950814</v>
      </c>
      <c r="U278" s="44">
        <f t="shared" si="29"/>
        <v>2994414</v>
      </c>
      <c r="V278" s="44"/>
    </row>
    <row r="279" spans="1:22" ht="14.5" x14ac:dyDescent="0.35">
      <c r="A279" s="47" t="str">
        <f t="shared" si="25"/>
        <v>SBY-OS-E1038-2019</v>
      </c>
      <c r="B279" s="26">
        <v>43797</v>
      </c>
      <c r="C279" s="42">
        <v>2019</v>
      </c>
      <c r="D279" s="27" t="s">
        <v>529</v>
      </c>
      <c r="E279" s="27" t="s">
        <v>41</v>
      </c>
      <c r="F279" s="42" t="str" cm="1">
        <f t="array" ref="F279">_xlfn.IFS(E279="Bandung","BDG",E279="Surabaya","SBY",E279="Jakarta","JKT")</f>
        <v>SBY</v>
      </c>
      <c r="G279" s="27" t="s">
        <v>98</v>
      </c>
      <c r="H279" s="27" t="s">
        <v>256</v>
      </c>
      <c r="I279" s="27" t="s">
        <v>35</v>
      </c>
      <c r="J279" s="26">
        <v>43536</v>
      </c>
      <c r="K279" s="26">
        <v>43802</v>
      </c>
      <c r="L279" s="27">
        <f t="shared" si="26"/>
        <v>5</v>
      </c>
      <c r="M279" s="45">
        <v>36750</v>
      </c>
      <c r="N279" s="45">
        <v>58350</v>
      </c>
      <c r="O279" s="27">
        <v>161</v>
      </c>
      <c r="P279" s="46">
        <f t="shared" si="27"/>
        <v>0.37017994858611825</v>
      </c>
      <c r="Q279" s="27">
        <v>30</v>
      </c>
      <c r="R279" s="44">
        <f t="shared" si="24"/>
        <v>1750500</v>
      </c>
      <c r="S279" s="29">
        <v>0.09</v>
      </c>
      <c r="T279" s="44">
        <f t="shared" si="28"/>
        <v>1592955</v>
      </c>
      <c r="U279" s="44">
        <f t="shared" si="29"/>
        <v>490455</v>
      </c>
      <c r="V279" s="44"/>
    </row>
    <row r="280" spans="1:22" ht="14.5" x14ac:dyDescent="0.35">
      <c r="A280" s="47" t="str">
        <f t="shared" si="25"/>
        <v>SBY-OP-E1037-2018</v>
      </c>
      <c r="B280" s="26">
        <v>43440</v>
      </c>
      <c r="C280" s="42">
        <v>2018</v>
      </c>
      <c r="D280" s="27" t="s">
        <v>620</v>
      </c>
      <c r="E280" s="27" t="s">
        <v>41</v>
      </c>
      <c r="F280" s="42" t="str" cm="1">
        <f t="array" ref="F280">_xlfn.IFS(E280="Bandung","BDG",E280="Surabaya","SBY",E280="Jakarta","JKT")</f>
        <v>SBY</v>
      </c>
      <c r="G280" s="27" t="s">
        <v>83</v>
      </c>
      <c r="H280" s="27" t="s">
        <v>426</v>
      </c>
      <c r="I280" s="27" t="s">
        <v>39</v>
      </c>
      <c r="J280" s="26">
        <v>43385</v>
      </c>
      <c r="K280" s="26">
        <v>43444</v>
      </c>
      <c r="L280" s="27">
        <f t="shared" si="26"/>
        <v>4</v>
      </c>
      <c r="M280" s="45">
        <v>16350.000000000002</v>
      </c>
      <c r="N280" s="45">
        <v>27300</v>
      </c>
      <c r="O280" s="27">
        <v>158</v>
      </c>
      <c r="P280" s="46">
        <f t="shared" si="27"/>
        <v>0.40109890109890101</v>
      </c>
      <c r="Q280" s="27">
        <v>42</v>
      </c>
      <c r="R280" s="44">
        <f t="shared" si="24"/>
        <v>1146600</v>
      </c>
      <c r="S280" s="29">
        <v>0.08</v>
      </c>
      <c r="T280" s="44">
        <f t="shared" si="28"/>
        <v>1054872</v>
      </c>
      <c r="U280" s="44">
        <f t="shared" si="29"/>
        <v>368171.99999999988</v>
      </c>
      <c r="V280" s="44"/>
    </row>
    <row r="281" spans="1:22" ht="14.5" x14ac:dyDescent="0.35">
      <c r="A281" s="47" t="str">
        <f t="shared" si="25"/>
        <v>JKT-OK-E1029-2016</v>
      </c>
      <c r="B281" s="26">
        <v>42530</v>
      </c>
      <c r="C281" s="42">
        <v>2016</v>
      </c>
      <c r="D281" s="27" t="s">
        <v>62</v>
      </c>
      <c r="E281" s="27" t="s">
        <v>32</v>
      </c>
      <c r="F281" s="42" t="str" cm="1">
        <f t="array" ref="F281">_xlfn.IFS(E281="Bandung","BDG",E281="Surabaya","SBY",E281="Jakarta","JKT")</f>
        <v>JKT</v>
      </c>
      <c r="G281" s="27" t="s">
        <v>37</v>
      </c>
      <c r="H281" s="27" t="s">
        <v>63</v>
      </c>
      <c r="I281" s="27" t="s">
        <v>35</v>
      </c>
      <c r="J281" s="26">
        <v>42680</v>
      </c>
      <c r="K281" s="26">
        <v>42532</v>
      </c>
      <c r="L281" s="27">
        <f t="shared" si="26"/>
        <v>2</v>
      </c>
      <c r="M281" s="45">
        <v>73350</v>
      </c>
      <c r="N281" s="45">
        <v>114600</v>
      </c>
      <c r="O281" s="27">
        <v>101</v>
      </c>
      <c r="P281" s="46">
        <f t="shared" si="27"/>
        <v>0.3599476439790576</v>
      </c>
      <c r="Q281" s="27">
        <v>18</v>
      </c>
      <c r="R281" s="44">
        <f t="shared" si="24"/>
        <v>2062800</v>
      </c>
      <c r="S281" s="29">
        <v>0.1</v>
      </c>
      <c r="T281" s="44">
        <f t="shared" si="28"/>
        <v>1856520</v>
      </c>
      <c r="U281" s="44">
        <f t="shared" si="29"/>
        <v>536220</v>
      </c>
      <c r="V281" s="44"/>
    </row>
    <row r="282" spans="1:22" ht="14.5" x14ac:dyDescent="0.35">
      <c r="A282" s="47" t="str">
        <f t="shared" si="25"/>
        <v>JKT-OK-E1029-2017</v>
      </c>
      <c r="B282" s="26">
        <v>42775</v>
      </c>
      <c r="C282" s="42">
        <v>2017</v>
      </c>
      <c r="D282" s="27" t="s">
        <v>62</v>
      </c>
      <c r="E282" s="27" t="s">
        <v>32</v>
      </c>
      <c r="F282" s="42" t="str" cm="1">
        <f t="array" ref="F282">_xlfn.IFS(E282="Bandung","BDG",E282="Surabaya","SBY",E282="Jakarta","JKT")</f>
        <v>JKT</v>
      </c>
      <c r="G282" s="27" t="s">
        <v>37</v>
      </c>
      <c r="H282" s="27" t="s">
        <v>298</v>
      </c>
      <c r="I282" s="27" t="s">
        <v>73</v>
      </c>
      <c r="J282" s="26">
        <v>42776</v>
      </c>
      <c r="K282" s="26">
        <v>43010</v>
      </c>
      <c r="L282" s="27">
        <f t="shared" si="26"/>
        <v>235</v>
      </c>
      <c r="M282" s="45">
        <v>252000</v>
      </c>
      <c r="N282" s="45">
        <v>614550</v>
      </c>
      <c r="O282" s="27">
        <v>306</v>
      </c>
      <c r="P282" s="46">
        <f t="shared" si="27"/>
        <v>0.58994386136197219</v>
      </c>
      <c r="Q282" s="27">
        <v>11</v>
      </c>
      <c r="R282" s="44">
        <f t="shared" si="24"/>
        <v>6760050</v>
      </c>
      <c r="S282" s="29">
        <v>0.03</v>
      </c>
      <c r="T282" s="44">
        <f t="shared" si="28"/>
        <v>6557248.5</v>
      </c>
      <c r="U282" s="44">
        <f t="shared" si="29"/>
        <v>3785248.5</v>
      </c>
      <c r="V282" s="44"/>
    </row>
    <row r="283" spans="1:22" ht="14.5" x14ac:dyDescent="0.35">
      <c r="A283" s="47" t="str">
        <f t="shared" si="25"/>
        <v>BDG-ON-E1039-2018</v>
      </c>
      <c r="B283" s="26">
        <v>43447</v>
      </c>
      <c r="C283" s="42">
        <v>2018</v>
      </c>
      <c r="D283" s="27" t="s">
        <v>622</v>
      </c>
      <c r="E283" s="27" t="s">
        <v>136</v>
      </c>
      <c r="F283" s="42" t="str" cm="1">
        <f t="array" ref="F283">_xlfn.IFS(E283="Bandung","BDG",E283="Surabaya","SBY",E283="Jakarta","JKT")</f>
        <v>BDG</v>
      </c>
      <c r="G283" s="27" t="s">
        <v>103</v>
      </c>
      <c r="H283" s="27" t="s">
        <v>180</v>
      </c>
      <c r="I283" s="27" t="s">
        <v>35</v>
      </c>
      <c r="J283" s="26">
        <v>43447</v>
      </c>
      <c r="K283" s="26">
        <v>43447</v>
      </c>
      <c r="L283" s="27">
        <f t="shared" si="26"/>
        <v>0</v>
      </c>
      <c r="M283" s="45">
        <v>51000</v>
      </c>
      <c r="N283" s="45">
        <v>81000</v>
      </c>
      <c r="O283" s="27">
        <v>213</v>
      </c>
      <c r="P283" s="46">
        <f t="shared" si="27"/>
        <v>0.37037037037037035</v>
      </c>
      <c r="Q283" s="27">
        <v>14</v>
      </c>
      <c r="R283" s="44">
        <f t="shared" si="24"/>
        <v>1134000</v>
      </c>
      <c r="S283" s="29">
        <v>0.02</v>
      </c>
      <c r="T283" s="44">
        <f t="shared" si="28"/>
        <v>1111320</v>
      </c>
      <c r="U283" s="44">
        <f t="shared" si="29"/>
        <v>397320</v>
      </c>
      <c r="V283" s="44"/>
    </row>
    <row r="284" spans="1:22" ht="14.5" x14ac:dyDescent="0.35">
      <c r="A284" s="47" t="str">
        <f t="shared" si="25"/>
        <v>BDG-ON-E1039-2019</v>
      </c>
      <c r="B284" s="26">
        <v>43566</v>
      </c>
      <c r="C284" s="42">
        <v>2019</v>
      </c>
      <c r="D284" s="27" t="s">
        <v>622</v>
      </c>
      <c r="E284" s="27" t="s">
        <v>136</v>
      </c>
      <c r="F284" s="42" t="str" cm="1">
        <f t="array" ref="F284">_xlfn.IFS(E284="Bandung","BDG",E284="Surabaya","SBY",E284="Jakarta","JKT")</f>
        <v>BDG</v>
      </c>
      <c r="G284" s="27" t="s">
        <v>103</v>
      </c>
      <c r="H284" s="27" t="s">
        <v>298</v>
      </c>
      <c r="I284" s="27" t="s">
        <v>73</v>
      </c>
      <c r="J284" s="26">
        <v>43573</v>
      </c>
      <c r="K284" s="26">
        <v>43573</v>
      </c>
      <c r="L284" s="27">
        <f t="shared" si="26"/>
        <v>7</v>
      </c>
      <c r="M284" s="45">
        <v>252000</v>
      </c>
      <c r="N284" s="45">
        <v>614550</v>
      </c>
      <c r="O284" s="27">
        <v>295</v>
      </c>
      <c r="P284" s="46">
        <f t="shared" si="27"/>
        <v>0.58994386136197219</v>
      </c>
      <c r="Q284" s="27">
        <v>49</v>
      </c>
      <c r="R284" s="44">
        <f t="shared" si="24"/>
        <v>30112950</v>
      </c>
      <c r="S284" s="29">
        <v>0.1</v>
      </c>
      <c r="T284" s="44">
        <f t="shared" si="28"/>
        <v>27101655</v>
      </c>
      <c r="U284" s="44">
        <f t="shared" si="29"/>
        <v>14753655</v>
      </c>
      <c r="V284" s="44"/>
    </row>
    <row r="285" spans="1:22" ht="14.5" x14ac:dyDescent="0.35">
      <c r="A285" s="47" t="str">
        <f t="shared" si="25"/>
        <v>BDG-ON-E1039-2019</v>
      </c>
      <c r="B285" s="26">
        <v>43691</v>
      </c>
      <c r="C285" s="42">
        <v>2019</v>
      </c>
      <c r="D285" s="27" t="s">
        <v>622</v>
      </c>
      <c r="E285" s="27" t="s">
        <v>136</v>
      </c>
      <c r="F285" s="42" t="str" cm="1">
        <f t="array" ref="F285">_xlfn.IFS(E285="Bandung","BDG",E285="Surabaya","SBY",E285="Jakarta","JKT")</f>
        <v>BDG</v>
      </c>
      <c r="G285" s="27" t="s">
        <v>103</v>
      </c>
      <c r="H285" s="27" t="s">
        <v>216</v>
      </c>
      <c r="I285" s="27" t="s">
        <v>35</v>
      </c>
      <c r="J285" s="26" t="s">
        <v>1740</v>
      </c>
      <c r="K285" s="26">
        <v>43692</v>
      </c>
      <c r="L285" s="27">
        <f t="shared" si="26"/>
        <v>1</v>
      </c>
      <c r="M285" s="45">
        <v>66900</v>
      </c>
      <c r="N285" s="45">
        <v>163350</v>
      </c>
      <c r="O285" s="27">
        <v>271</v>
      </c>
      <c r="P285" s="46">
        <f t="shared" si="27"/>
        <v>0.59044995408631773</v>
      </c>
      <c r="Q285" s="27">
        <v>39</v>
      </c>
      <c r="R285" s="44">
        <f t="shared" si="24"/>
        <v>6370650</v>
      </c>
      <c r="S285" s="29">
        <v>0.06</v>
      </c>
      <c r="T285" s="44">
        <f t="shared" si="28"/>
        <v>5988411</v>
      </c>
      <c r="U285" s="44">
        <f t="shared" si="29"/>
        <v>3379311</v>
      </c>
      <c r="V285" s="44"/>
    </row>
    <row r="286" spans="1:22" ht="14.5" x14ac:dyDescent="0.35">
      <c r="A286" s="47" t="str">
        <f t="shared" si="25"/>
        <v>BDG-ON-E1039-2019</v>
      </c>
      <c r="B286" s="26">
        <v>43691</v>
      </c>
      <c r="C286" s="42">
        <v>2019</v>
      </c>
      <c r="D286" s="27" t="s">
        <v>622</v>
      </c>
      <c r="E286" s="27" t="s">
        <v>136</v>
      </c>
      <c r="F286" s="42" t="str" cm="1">
        <f t="array" ref="F286">_xlfn.IFS(E286="Bandung","BDG",E286="Surabaya","SBY",E286="Jakarta","JKT")</f>
        <v>BDG</v>
      </c>
      <c r="G286" s="27" t="s">
        <v>103</v>
      </c>
      <c r="H286" s="27" t="s">
        <v>225</v>
      </c>
      <c r="I286" s="27" t="s">
        <v>35</v>
      </c>
      <c r="J286" s="26">
        <v>43693</v>
      </c>
      <c r="K286" s="26">
        <v>43693</v>
      </c>
      <c r="L286" s="27">
        <f t="shared" si="26"/>
        <v>2</v>
      </c>
      <c r="M286" s="45">
        <v>27600</v>
      </c>
      <c r="N286" s="45">
        <v>43200</v>
      </c>
      <c r="O286" s="27">
        <v>201</v>
      </c>
      <c r="P286" s="46">
        <f t="shared" si="27"/>
        <v>0.3611111111111111</v>
      </c>
      <c r="Q286" s="27">
        <v>45</v>
      </c>
      <c r="R286" s="44">
        <f t="shared" si="24"/>
        <v>1944000</v>
      </c>
      <c r="S286" s="29">
        <v>0.02</v>
      </c>
      <c r="T286" s="44">
        <f t="shared" si="28"/>
        <v>1905120</v>
      </c>
      <c r="U286" s="44">
        <f t="shared" si="29"/>
        <v>663120</v>
      </c>
      <c r="V286" s="44"/>
    </row>
    <row r="287" spans="1:22" ht="14.5" x14ac:dyDescent="0.35">
      <c r="A287" s="47" t="str">
        <f t="shared" si="25"/>
        <v>SBY-OP-E1032-2019</v>
      </c>
      <c r="B287" s="26">
        <v>43655</v>
      </c>
      <c r="C287" s="42">
        <v>2019</v>
      </c>
      <c r="D287" s="27" t="s">
        <v>670</v>
      </c>
      <c r="E287" s="27" t="s">
        <v>41</v>
      </c>
      <c r="F287" s="42" t="str" cm="1">
        <f t="array" ref="F287">_xlfn.IFS(E287="Bandung","BDG",E287="Surabaya","SBY",E287="Jakarta","JKT")</f>
        <v>SBY</v>
      </c>
      <c r="G287" s="27" t="s">
        <v>53</v>
      </c>
      <c r="H287" s="27" t="s">
        <v>269</v>
      </c>
      <c r="I287" s="27" t="s">
        <v>73</v>
      </c>
      <c r="J287" s="26">
        <v>43657</v>
      </c>
      <c r="K287" s="26">
        <v>43776</v>
      </c>
      <c r="L287" s="27">
        <f t="shared" si="26"/>
        <v>121</v>
      </c>
      <c r="M287" s="45">
        <v>37500</v>
      </c>
      <c r="N287" s="45">
        <v>85200</v>
      </c>
      <c r="O287" s="27">
        <v>187</v>
      </c>
      <c r="P287" s="46">
        <f t="shared" si="27"/>
        <v>0.5598591549295775</v>
      </c>
      <c r="Q287" s="27">
        <v>45</v>
      </c>
      <c r="R287" s="44">
        <f t="shared" si="24"/>
        <v>3834000</v>
      </c>
      <c r="S287" s="29">
        <v>0.01</v>
      </c>
      <c r="T287" s="44">
        <f t="shared" si="28"/>
        <v>3795660</v>
      </c>
      <c r="U287" s="44">
        <f t="shared" si="29"/>
        <v>2108160</v>
      </c>
      <c r="V287" s="44"/>
    </row>
    <row r="288" spans="1:22" ht="14.5" x14ac:dyDescent="0.35">
      <c r="A288" s="47" t="str">
        <f t="shared" si="25"/>
        <v>SBY-OP-E1030-2018</v>
      </c>
      <c r="B288" s="26">
        <v>43446</v>
      </c>
      <c r="C288" s="42">
        <v>2018</v>
      </c>
      <c r="D288" s="27" t="s">
        <v>621</v>
      </c>
      <c r="E288" s="27" t="s">
        <v>41</v>
      </c>
      <c r="F288" s="42" t="str" cm="1">
        <f t="array" ref="F288">_xlfn.IFS(E288="Bandung","BDG",E288="Surabaya","SBY",E288="Jakarta","JKT")</f>
        <v>SBY</v>
      </c>
      <c r="G288" s="27" t="s">
        <v>42</v>
      </c>
      <c r="H288" s="27" t="s">
        <v>282</v>
      </c>
      <c r="I288" s="27" t="s">
        <v>35</v>
      </c>
      <c r="J288" s="26" t="s">
        <v>1708</v>
      </c>
      <c r="K288" s="26">
        <v>43448</v>
      </c>
      <c r="L288" s="27">
        <f t="shared" si="26"/>
        <v>2</v>
      </c>
      <c r="M288" s="45">
        <v>619200</v>
      </c>
      <c r="N288" s="45">
        <v>1439850</v>
      </c>
      <c r="O288" s="27">
        <v>97</v>
      </c>
      <c r="P288" s="46">
        <f t="shared" si="27"/>
        <v>0.56995520366704866</v>
      </c>
      <c r="Q288" s="27">
        <v>26</v>
      </c>
      <c r="R288" s="44">
        <f t="shared" si="24"/>
        <v>37436100</v>
      </c>
      <c r="S288" s="29">
        <v>0.02</v>
      </c>
      <c r="T288" s="44">
        <f t="shared" si="28"/>
        <v>36687378</v>
      </c>
      <c r="U288" s="44">
        <f t="shared" si="29"/>
        <v>20588178</v>
      </c>
      <c r="V288" s="44"/>
    </row>
    <row r="289" spans="1:22" ht="14.5" x14ac:dyDescent="0.35">
      <c r="A289" s="47" t="str">
        <f t="shared" si="25"/>
        <v>SBY-OP-E1036-2018</v>
      </c>
      <c r="B289" s="26">
        <v>43408</v>
      </c>
      <c r="C289" s="42">
        <v>2018</v>
      </c>
      <c r="D289" s="27" t="s">
        <v>608</v>
      </c>
      <c r="E289" s="27" t="s">
        <v>41</v>
      </c>
      <c r="F289" s="42" t="str" cm="1">
        <f t="array" ref="F289">_xlfn.IFS(E289="Bandung","BDG",E289="Surabaya","SBY",E289="Jakarta","JKT")</f>
        <v>SBY</v>
      </c>
      <c r="G289" s="27" t="s">
        <v>78</v>
      </c>
      <c r="H289" s="27" t="s">
        <v>260</v>
      </c>
      <c r="I289" s="27" t="s">
        <v>39</v>
      </c>
      <c r="J289" s="26">
        <v>43409</v>
      </c>
      <c r="K289" s="26">
        <v>43231</v>
      </c>
      <c r="L289" s="27">
        <f t="shared" si="26"/>
        <v>-177</v>
      </c>
      <c r="M289" s="45">
        <v>49800</v>
      </c>
      <c r="N289" s="45">
        <v>77700</v>
      </c>
      <c r="O289" s="27">
        <v>153</v>
      </c>
      <c r="P289" s="46">
        <f t="shared" si="27"/>
        <v>0.35907335907335908</v>
      </c>
      <c r="Q289" s="27">
        <v>1</v>
      </c>
      <c r="R289" s="44">
        <f t="shared" si="24"/>
        <v>77700</v>
      </c>
      <c r="S289" s="29">
        <v>0</v>
      </c>
      <c r="T289" s="44">
        <f t="shared" si="28"/>
        <v>77700</v>
      </c>
      <c r="U289" s="44">
        <f t="shared" si="29"/>
        <v>27900</v>
      </c>
      <c r="V289" s="44"/>
    </row>
    <row r="290" spans="1:22" ht="14.5" x14ac:dyDescent="0.35">
      <c r="A290" s="47" t="str">
        <f t="shared" si="25"/>
        <v>SBY-OP-E1036-2020</v>
      </c>
      <c r="B290" s="26">
        <v>43909</v>
      </c>
      <c r="C290" s="42">
        <v>2020</v>
      </c>
      <c r="D290" s="27" t="s">
        <v>608</v>
      </c>
      <c r="E290" s="27" t="s">
        <v>41</v>
      </c>
      <c r="F290" s="42" t="str" cm="1">
        <f t="array" ref="F290">_xlfn.IFS(E290="Bandung","BDG",E290="Surabaya","SBY",E290="Jakarta","JKT")</f>
        <v>SBY</v>
      </c>
      <c r="G290" s="27" t="s">
        <v>78</v>
      </c>
      <c r="H290" s="27" t="s">
        <v>231</v>
      </c>
      <c r="I290" s="27" t="s">
        <v>73</v>
      </c>
      <c r="J290" s="26" t="s">
        <v>1781</v>
      </c>
      <c r="K290" s="26">
        <v>43911</v>
      </c>
      <c r="L290" s="27">
        <f t="shared" si="26"/>
        <v>2</v>
      </c>
      <c r="M290" s="45">
        <v>21900</v>
      </c>
      <c r="N290" s="45">
        <v>53550</v>
      </c>
      <c r="O290" s="27">
        <v>93</v>
      </c>
      <c r="P290" s="46">
        <f t="shared" si="27"/>
        <v>0.59103641456582634</v>
      </c>
      <c r="Q290" s="27">
        <v>10</v>
      </c>
      <c r="R290" s="44">
        <f t="shared" si="24"/>
        <v>535500</v>
      </c>
      <c r="S290" s="29">
        <v>0.01</v>
      </c>
      <c r="T290" s="44">
        <f t="shared" si="28"/>
        <v>530145</v>
      </c>
      <c r="U290" s="44">
        <f t="shared" si="29"/>
        <v>311145</v>
      </c>
      <c r="V290" s="44"/>
    </row>
    <row r="291" spans="1:22" ht="14.5" x14ac:dyDescent="0.35">
      <c r="A291" s="47" t="str">
        <f t="shared" si="25"/>
        <v>BDG-OS-E1032-2016</v>
      </c>
      <c r="B291" s="26">
        <v>42681</v>
      </c>
      <c r="C291" s="42">
        <v>2016</v>
      </c>
      <c r="D291" s="27" t="s">
        <v>215</v>
      </c>
      <c r="E291" s="27" t="s">
        <v>136</v>
      </c>
      <c r="F291" s="42" t="str" cm="1">
        <f t="array" ref="F291">_xlfn.IFS(E291="Bandung","BDG",E291="Surabaya","SBY",E291="Jakarta","JKT")</f>
        <v>BDG</v>
      </c>
      <c r="G291" s="27" t="s">
        <v>53</v>
      </c>
      <c r="H291" s="27" t="s">
        <v>216</v>
      </c>
      <c r="I291" s="27" t="s">
        <v>35</v>
      </c>
      <c r="J291" s="26">
        <v>42715</v>
      </c>
      <c r="K291" s="26">
        <v>42686</v>
      </c>
      <c r="L291" s="27">
        <f t="shared" si="26"/>
        <v>5</v>
      </c>
      <c r="M291" s="45">
        <v>66900</v>
      </c>
      <c r="N291" s="45">
        <v>163350</v>
      </c>
      <c r="O291" s="27">
        <v>232</v>
      </c>
      <c r="P291" s="46">
        <f t="shared" si="27"/>
        <v>0.59044995408631773</v>
      </c>
      <c r="Q291" s="27">
        <v>37</v>
      </c>
      <c r="R291" s="44">
        <f t="shared" si="24"/>
        <v>6043950</v>
      </c>
      <c r="S291" s="29">
        <v>0.06</v>
      </c>
      <c r="T291" s="44">
        <f t="shared" si="28"/>
        <v>5681313</v>
      </c>
      <c r="U291" s="44">
        <f t="shared" si="29"/>
        <v>3206013</v>
      </c>
      <c r="V291" s="44"/>
    </row>
    <row r="292" spans="1:22" ht="14.5" x14ac:dyDescent="0.35">
      <c r="A292" s="47" t="str">
        <f t="shared" si="25"/>
        <v>BDG-OS-E1032-2017</v>
      </c>
      <c r="B292" s="26">
        <v>42750</v>
      </c>
      <c r="C292" s="42">
        <v>2017</v>
      </c>
      <c r="D292" s="27" t="s">
        <v>215</v>
      </c>
      <c r="E292" s="27" t="s">
        <v>136</v>
      </c>
      <c r="F292" s="42" t="str" cm="1">
        <f t="array" ref="F292">_xlfn.IFS(E292="Bandung","BDG",E292="Surabaya","SBY",E292="Jakarta","JKT")</f>
        <v>BDG</v>
      </c>
      <c r="G292" s="27" t="s">
        <v>53</v>
      </c>
      <c r="H292" s="27" t="s">
        <v>125</v>
      </c>
      <c r="I292" s="27" t="s">
        <v>39</v>
      </c>
      <c r="J292" s="26">
        <v>42751</v>
      </c>
      <c r="K292" s="26">
        <v>42751</v>
      </c>
      <c r="L292" s="27">
        <f t="shared" si="26"/>
        <v>1</v>
      </c>
      <c r="M292" s="45">
        <v>323400</v>
      </c>
      <c r="N292" s="45">
        <v>548250</v>
      </c>
      <c r="O292" s="27">
        <v>160</v>
      </c>
      <c r="P292" s="46">
        <f t="shared" si="27"/>
        <v>0.41012311901504789</v>
      </c>
      <c r="Q292" s="27">
        <v>46</v>
      </c>
      <c r="R292" s="44">
        <f t="shared" si="24"/>
        <v>25219500</v>
      </c>
      <c r="S292" s="29">
        <v>0.05</v>
      </c>
      <c r="T292" s="44">
        <f t="shared" si="28"/>
        <v>23958525</v>
      </c>
      <c r="U292" s="44">
        <f t="shared" si="29"/>
        <v>9082125</v>
      </c>
      <c r="V292" s="44"/>
    </row>
    <row r="293" spans="1:22" ht="14.5" x14ac:dyDescent="0.35">
      <c r="A293" s="47" t="str">
        <f t="shared" si="25"/>
        <v>BDG-OS-E1032-2017</v>
      </c>
      <c r="B293" s="26">
        <v>42818</v>
      </c>
      <c r="C293" s="42">
        <v>2017</v>
      </c>
      <c r="D293" s="27" t="s">
        <v>215</v>
      </c>
      <c r="E293" s="27" t="s">
        <v>136</v>
      </c>
      <c r="F293" s="42" t="str" cm="1">
        <f t="array" ref="F293">_xlfn.IFS(E293="Bandung","BDG",E293="Surabaya","SBY",E293="Jakarta","JKT")</f>
        <v>BDG</v>
      </c>
      <c r="G293" s="27" t="s">
        <v>53</v>
      </c>
      <c r="H293" s="27" t="s">
        <v>214</v>
      </c>
      <c r="I293" s="27" t="s">
        <v>35</v>
      </c>
      <c r="J293" s="26" t="s">
        <v>1600</v>
      </c>
      <c r="K293" s="26">
        <v>42820</v>
      </c>
      <c r="L293" s="27">
        <f t="shared" si="26"/>
        <v>2</v>
      </c>
      <c r="M293" s="45">
        <v>54750</v>
      </c>
      <c r="N293" s="45">
        <v>89700</v>
      </c>
      <c r="O293" s="27">
        <v>251</v>
      </c>
      <c r="P293" s="46">
        <f t="shared" si="27"/>
        <v>0.38963210702341139</v>
      </c>
      <c r="Q293" s="27">
        <v>25</v>
      </c>
      <c r="R293" s="44">
        <f t="shared" si="24"/>
        <v>2242500</v>
      </c>
      <c r="S293" s="29">
        <v>0.03</v>
      </c>
      <c r="T293" s="44">
        <f t="shared" si="28"/>
        <v>2175225</v>
      </c>
      <c r="U293" s="44">
        <f t="shared" si="29"/>
        <v>806475</v>
      </c>
      <c r="V293" s="44"/>
    </row>
    <row r="294" spans="1:22" ht="14.5" x14ac:dyDescent="0.35">
      <c r="A294" s="47" t="str">
        <f t="shared" si="25"/>
        <v>BDG-OS-E1032-2017</v>
      </c>
      <c r="B294" s="26">
        <v>42974</v>
      </c>
      <c r="C294" s="42">
        <v>2017</v>
      </c>
      <c r="D294" s="27" t="s">
        <v>215</v>
      </c>
      <c r="E294" s="27" t="s">
        <v>136</v>
      </c>
      <c r="F294" s="42" t="str" cm="1">
        <f t="array" ref="F294">_xlfn.IFS(E294="Bandung","BDG",E294="Surabaya","SBY",E294="Jakarta","JKT")</f>
        <v>BDG</v>
      </c>
      <c r="G294" s="27" t="s">
        <v>53</v>
      </c>
      <c r="H294" s="27" t="s">
        <v>221</v>
      </c>
      <c r="I294" s="27" t="s">
        <v>35</v>
      </c>
      <c r="J294" s="26">
        <v>42975</v>
      </c>
      <c r="K294" s="26">
        <v>42975</v>
      </c>
      <c r="L294" s="27">
        <f t="shared" si="26"/>
        <v>1</v>
      </c>
      <c r="M294" s="45">
        <v>29100</v>
      </c>
      <c r="N294" s="45">
        <v>46200</v>
      </c>
      <c r="O294" s="27">
        <v>254</v>
      </c>
      <c r="P294" s="46">
        <f t="shared" si="27"/>
        <v>0.37012987012987014</v>
      </c>
      <c r="Q294" s="27">
        <v>9</v>
      </c>
      <c r="R294" s="44">
        <f t="shared" si="24"/>
        <v>415800</v>
      </c>
      <c r="S294" s="29">
        <v>0.01</v>
      </c>
      <c r="T294" s="44">
        <f t="shared" si="28"/>
        <v>411642</v>
      </c>
      <c r="U294" s="44">
        <f t="shared" si="29"/>
        <v>149742</v>
      </c>
      <c r="V294" s="44"/>
    </row>
    <row r="295" spans="1:22" ht="14.5" x14ac:dyDescent="0.35">
      <c r="A295" s="47" t="str">
        <f t="shared" si="25"/>
        <v>BDG-OS-E1032-2017</v>
      </c>
      <c r="B295" s="26">
        <v>43037</v>
      </c>
      <c r="C295" s="42">
        <v>2017</v>
      </c>
      <c r="D295" s="27" t="s">
        <v>215</v>
      </c>
      <c r="E295" s="27" t="s">
        <v>136</v>
      </c>
      <c r="F295" s="42" t="str" cm="1">
        <f t="array" ref="F295">_xlfn.IFS(E295="Bandung","BDG",E295="Surabaya","SBY",E295="Jakarta","JKT")</f>
        <v>BDG</v>
      </c>
      <c r="G295" s="27" t="s">
        <v>53</v>
      </c>
      <c r="H295" s="27" t="s">
        <v>418</v>
      </c>
      <c r="I295" s="27" t="s">
        <v>35</v>
      </c>
      <c r="J295" s="26" t="s">
        <v>1638</v>
      </c>
      <c r="K295" s="26">
        <v>43038</v>
      </c>
      <c r="L295" s="27">
        <f t="shared" si="26"/>
        <v>1</v>
      </c>
      <c r="M295" s="45">
        <v>41400</v>
      </c>
      <c r="N295" s="45">
        <v>65700</v>
      </c>
      <c r="O295" s="27">
        <v>42</v>
      </c>
      <c r="P295" s="46">
        <f t="shared" si="27"/>
        <v>0.36986301369863012</v>
      </c>
      <c r="Q295" s="27">
        <v>18</v>
      </c>
      <c r="R295" s="44">
        <f t="shared" si="24"/>
        <v>1182600</v>
      </c>
      <c r="S295" s="29">
        <v>0.03</v>
      </c>
      <c r="T295" s="44">
        <f t="shared" si="28"/>
        <v>1147122</v>
      </c>
      <c r="U295" s="44">
        <f t="shared" si="29"/>
        <v>401922</v>
      </c>
      <c r="V295" s="44"/>
    </row>
    <row r="296" spans="1:22" ht="14.5" x14ac:dyDescent="0.35">
      <c r="A296" s="47" t="str">
        <f t="shared" si="25"/>
        <v>BDG-OS-E1032-2019</v>
      </c>
      <c r="B296" s="26">
        <v>43711</v>
      </c>
      <c r="C296" s="42">
        <v>2019</v>
      </c>
      <c r="D296" s="27" t="s">
        <v>215</v>
      </c>
      <c r="E296" s="27" t="s">
        <v>136</v>
      </c>
      <c r="F296" s="42" t="str" cm="1">
        <f t="array" ref="F296">_xlfn.IFS(E296="Bandung","BDG",E296="Surabaya","SBY",E296="Jakarta","JKT")</f>
        <v>BDG</v>
      </c>
      <c r="G296" s="27" t="s">
        <v>53</v>
      </c>
      <c r="H296" s="27" t="s">
        <v>368</v>
      </c>
      <c r="I296" s="27" t="s">
        <v>35</v>
      </c>
      <c r="J296" s="26">
        <v>43533</v>
      </c>
      <c r="K296" s="26">
        <v>43711</v>
      </c>
      <c r="L296" s="27">
        <f t="shared" si="26"/>
        <v>0</v>
      </c>
      <c r="M296" s="45">
        <v>781050</v>
      </c>
      <c r="N296" s="45">
        <v>1259700</v>
      </c>
      <c r="O296" s="27">
        <v>80</v>
      </c>
      <c r="P296" s="46">
        <f t="shared" si="27"/>
        <v>0.37997142176708743</v>
      </c>
      <c r="Q296" s="27">
        <v>46</v>
      </c>
      <c r="R296" s="44">
        <f t="shared" si="24"/>
        <v>57946200</v>
      </c>
      <c r="S296" s="29">
        <v>0.06</v>
      </c>
      <c r="T296" s="44">
        <f t="shared" si="28"/>
        <v>54469428</v>
      </c>
      <c r="U296" s="44">
        <f t="shared" si="29"/>
        <v>18541128</v>
      </c>
      <c r="V296" s="44"/>
    </row>
    <row r="297" spans="1:22" ht="14.5" x14ac:dyDescent="0.35">
      <c r="A297" s="47" t="str">
        <f t="shared" si="25"/>
        <v>SBY-OM-E1040-2018</v>
      </c>
      <c r="B297" s="26">
        <v>43200</v>
      </c>
      <c r="C297" s="42">
        <v>2018</v>
      </c>
      <c r="D297" s="27" t="s">
        <v>522</v>
      </c>
      <c r="E297" s="27" t="s">
        <v>41</v>
      </c>
      <c r="F297" s="42" t="str" cm="1">
        <f t="array" ref="F297">_xlfn.IFS(E297="Bandung","BDG",E297="Surabaya","SBY",E297="Jakarta","JKT")</f>
        <v>SBY</v>
      </c>
      <c r="G297" s="27" t="s">
        <v>160</v>
      </c>
      <c r="H297" s="27" t="s">
        <v>276</v>
      </c>
      <c r="I297" s="27" t="s">
        <v>35</v>
      </c>
      <c r="J297" s="26">
        <v>43200</v>
      </c>
      <c r="K297" s="26">
        <v>43377</v>
      </c>
      <c r="L297" s="27">
        <f t="shared" si="26"/>
        <v>177</v>
      </c>
      <c r="M297" s="45">
        <v>224250</v>
      </c>
      <c r="N297" s="45">
        <v>521399.99999999994</v>
      </c>
      <c r="O297" s="27">
        <v>147</v>
      </c>
      <c r="P297" s="46">
        <f t="shared" si="27"/>
        <v>0.56990794016110469</v>
      </c>
      <c r="Q297" s="27">
        <v>10</v>
      </c>
      <c r="R297" s="44">
        <f t="shared" si="24"/>
        <v>5213999.9999999991</v>
      </c>
      <c r="S297" s="29">
        <v>0.03</v>
      </c>
      <c r="T297" s="44">
        <f t="shared" si="28"/>
        <v>5057579.9999999991</v>
      </c>
      <c r="U297" s="44">
        <f t="shared" si="29"/>
        <v>2815079.9999999991</v>
      </c>
      <c r="V297" s="44"/>
    </row>
    <row r="298" spans="1:22" ht="14.5" x14ac:dyDescent="0.35">
      <c r="A298" s="47" t="str">
        <f t="shared" si="25"/>
        <v>SBY-OM-E1040-2018</v>
      </c>
      <c r="B298" s="26">
        <v>43200</v>
      </c>
      <c r="C298" s="42">
        <v>2018</v>
      </c>
      <c r="D298" s="27" t="s">
        <v>522</v>
      </c>
      <c r="E298" s="27" t="s">
        <v>41</v>
      </c>
      <c r="F298" s="42" t="str" cm="1">
        <f t="array" ref="F298">_xlfn.IFS(E298="Bandung","BDG",E298="Surabaya","SBY",E298="Jakarta","JKT")</f>
        <v>SBY</v>
      </c>
      <c r="G298" s="27" t="s">
        <v>160</v>
      </c>
      <c r="H298" s="27" t="s">
        <v>343</v>
      </c>
      <c r="I298" s="27" t="s">
        <v>39</v>
      </c>
      <c r="J298" s="26">
        <v>43438</v>
      </c>
      <c r="K298" s="26">
        <v>43202</v>
      </c>
      <c r="L298" s="27">
        <f t="shared" si="26"/>
        <v>2</v>
      </c>
      <c r="M298" s="45">
        <v>34650</v>
      </c>
      <c r="N298" s="45">
        <v>56700</v>
      </c>
      <c r="O298" s="27">
        <v>197</v>
      </c>
      <c r="P298" s="46">
        <f t="shared" si="27"/>
        <v>0.3888888888888889</v>
      </c>
      <c r="Q298" s="27">
        <v>41</v>
      </c>
      <c r="R298" s="44">
        <f t="shared" si="24"/>
        <v>2324700</v>
      </c>
      <c r="S298" s="29">
        <v>0.02</v>
      </c>
      <c r="T298" s="44">
        <f t="shared" si="28"/>
        <v>2278206</v>
      </c>
      <c r="U298" s="44">
        <f t="shared" si="29"/>
        <v>857556</v>
      </c>
      <c r="V298" s="44"/>
    </row>
    <row r="299" spans="1:22" ht="14.5" x14ac:dyDescent="0.35">
      <c r="A299" s="47" t="str">
        <f t="shared" si="25"/>
        <v>SBY-OM-E1040-2020</v>
      </c>
      <c r="B299" s="26">
        <v>43865</v>
      </c>
      <c r="C299" s="42">
        <v>2020</v>
      </c>
      <c r="D299" s="27" t="s">
        <v>522</v>
      </c>
      <c r="E299" s="27" t="s">
        <v>41</v>
      </c>
      <c r="F299" s="42" t="str" cm="1">
        <f t="array" ref="F299">_xlfn.IFS(E299="Bandung","BDG",E299="Surabaya","SBY",E299="Jakarta","JKT")</f>
        <v>SBY</v>
      </c>
      <c r="G299" s="27" t="s">
        <v>160</v>
      </c>
      <c r="H299" s="27" t="s">
        <v>96</v>
      </c>
      <c r="I299" s="27" t="s">
        <v>35</v>
      </c>
      <c r="J299" s="26">
        <v>43867</v>
      </c>
      <c r="K299" s="26">
        <v>43984</v>
      </c>
      <c r="L299" s="27">
        <f t="shared" si="26"/>
        <v>119</v>
      </c>
      <c r="M299" s="45">
        <v>23850</v>
      </c>
      <c r="N299" s="45">
        <v>39150</v>
      </c>
      <c r="O299" s="27">
        <v>130</v>
      </c>
      <c r="P299" s="46">
        <f t="shared" si="27"/>
        <v>0.39080459770114945</v>
      </c>
      <c r="Q299" s="27">
        <v>44</v>
      </c>
      <c r="R299" s="44">
        <f t="shared" si="24"/>
        <v>1722600</v>
      </c>
      <c r="S299" s="29">
        <v>7.0000000000000007E-2</v>
      </c>
      <c r="T299" s="44">
        <f t="shared" si="28"/>
        <v>1602018</v>
      </c>
      <c r="U299" s="44">
        <f t="shared" si="29"/>
        <v>552618</v>
      </c>
      <c r="V299" s="44"/>
    </row>
    <row r="300" spans="1:22" ht="14.5" x14ac:dyDescent="0.35">
      <c r="A300" s="47" t="str">
        <f t="shared" si="25"/>
        <v>BDG-OU-E1036-2017</v>
      </c>
      <c r="B300" s="26">
        <v>42760</v>
      </c>
      <c r="C300" s="42">
        <v>2017</v>
      </c>
      <c r="D300" s="27" t="s">
        <v>286</v>
      </c>
      <c r="E300" s="27" t="s">
        <v>136</v>
      </c>
      <c r="F300" s="42" t="str" cm="1">
        <f t="array" ref="F300">_xlfn.IFS(E300="Bandung","BDG",E300="Surabaya","SBY",E300="Jakarta","JKT")</f>
        <v>BDG</v>
      </c>
      <c r="G300" s="27" t="s">
        <v>78</v>
      </c>
      <c r="H300" s="27" t="s">
        <v>287</v>
      </c>
      <c r="I300" s="27" t="s">
        <v>35</v>
      </c>
      <c r="J300" s="26" t="s">
        <v>1592</v>
      </c>
      <c r="K300" s="26">
        <v>42761</v>
      </c>
      <c r="L300" s="27">
        <f t="shared" si="26"/>
        <v>1</v>
      </c>
      <c r="M300" s="45">
        <v>936000</v>
      </c>
      <c r="N300" s="45">
        <v>2339850</v>
      </c>
      <c r="O300" s="27">
        <v>91</v>
      </c>
      <c r="P300" s="46">
        <f t="shared" si="27"/>
        <v>0.59997435733059812</v>
      </c>
      <c r="Q300" s="27">
        <v>48</v>
      </c>
      <c r="R300" s="44">
        <f t="shared" si="24"/>
        <v>112312800</v>
      </c>
      <c r="S300" s="29">
        <v>0.04</v>
      </c>
      <c r="T300" s="44">
        <f t="shared" si="28"/>
        <v>107820288</v>
      </c>
      <c r="U300" s="44">
        <f t="shared" si="29"/>
        <v>62892288</v>
      </c>
      <c r="V300" s="44"/>
    </row>
    <row r="301" spans="1:22" ht="14.5" x14ac:dyDescent="0.35">
      <c r="A301" s="47" t="str">
        <f t="shared" si="25"/>
        <v>BDG-OU-E1036-2017</v>
      </c>
      <c r="B301" s="26">
        <v>42760</v>
      </c>
      <c r="C301" s="42">
        <v>2017</v>
      </c>
      <c r="D301" s="27" t="s">
        <v>286</v>
      </c>
      <c r="E301" s="27" t="s">
        <v>136</v>
      </c>
      <c r="F301" s="42" t="str" cm="1">
        <f t="array" ref="F301">_xlfn.IFS(E301="Bandung","BDG",E301="Surabaya","SBY",E301="Jakarta","JKT")</f>
        <v>BDG</v>
      </c>
      <c r="G301" s="27" t="s">
        <v>78</v>
      </c>
      <c r="H301" s="27" t="s">
        <v>180</v>
      </c>
      <c r="I301" s="27" t="s">
        <v>35</v>
      </c>
      <c r="J301" s="26">
        <v>42760</v>
      </c>
      <c r="K301" s="26">
        <v>42760</v>
      </c>
      <c r="L301" s="27">
        <f t="shared" si="26"/>
        <v>0</v>
      </c>
      <c r="M301" s="45">
        <v>51000</v>
      </c>
      <c r="N301" s="45">
        <v>81000</v>
      </c>
      <c r="O301" s="27">
        <v>199</v>
      </c>
      <c r="P301" s="46">
        <f t="shared" si="27"/>
        <v>0.37037037037037035</v>
      </c>
      <c r="Q301" s="27">
        <v>8</v>
      </c>
      <c r="R301" s="44">
        <f t="shared" si="24"/>
        <v>648000</v>
      </c>
      <c r="S301" s="29">
        <v>0.08</v>
      </c>
      <c r="T301" s="44">
        <f t="shared" si="28"/>
        <v>596160</v>
      </c>
      <c r="U301" s="44">
        <f t="shared" si="29"/>
        <v>188160</v>
      </c>
      <c r="V301" s="44"/>
    </row>
    <row r="302" spans="1:22" ht="14.5" x14ac:dyDescent="0.35">
      <c r="A302" s="47" t="str">
        <f t="shared" si="25"/>
        <v>BDG-OU-E1036-2018</v>
      </c>
      <c r="B302" s="26">
        <v>43259</v>
      </c>
      <c r="C302" s="42">
        <v>2018</v>
      </c>
      <c r="D302" s="27" t="s">
        <v>286</v>
      </c>
      <c r="E302" s="27" t="s">
        <v>136</v>
      </c>
      <c r="F302" s="42" t="str" cm="1">
        <f t="array" ref="F302">_xlfn.IFS(E302="Bandung","BDG",E302="Surabaya","SBY",E302="Jakarta","JKT")</f>
        <v>BDG</v>
      </c>
      <c r="G302" s="27" t="s">
        <v>78</v>
      </c>
      <c r="H302" s="27" t="s">
        <v>414</v>
      </c>
      <c r="I302" s="27" t="s">
        <v>39</v>
      </c>
      <c r="J302" s="26">
        <v>43349</v>
      </c>
      <c r="K302" s="26">
        <v>43260</v>
      </c>
      <c r="L302" s="27">
        <f t="shared" si="26"/>
        <v>1</v>
      </c>
      <c r="M302" s="45">
        <v>13050</v>
      </c>
      <c r="N302" s="45">
        <v>27150</v>
      </c>
      <c r="O302" s="27">
        <v>106</v>
      </c>
      <c r="P302" s="46">
        <f t="shared" si="27"/>
        <v>0.51933701657458564</v>
      </c>
      <c r="Q302" s="27">
        <v>41</v>
      </c>
      <c r="R302" s="44">
        <f t="shared" si="24"/>
        <v>1113150</v>
      </c>
      <c r="S302" s="29">
        <v>0.03</v>
      </c>
      <c r="T302" s="44">
        <f t="shared" si="28"/>
        <v>1079755.5</v>
      </c>
      <c r="U302" s="44">
        <f t="shared" si="29"/>
        <v>544705.5</v>
      </c>
      <c r="V302" s="44"/>
    </row>
    <row r="303" spans="1:22" ht="14.5" x14ac:dyDescent="0.35">
      <c r="A303" s="47" t="str">
        <f t="shared" si="25"/>
        <v>BDG-OU-E1036-2020</v>
      </c>
      <c r="B303" s="26">
        <v>43851</v>
      </c>
      <c r="C303" s="42">
        <v>2020</v>
      </c>
      <c r="D303" s="27" t="s">
        <v>286</v>
      </c>
      <c r="E303" s="27" t="s">
        <v>136</v>
      </c>
      <c r="F303" s="42" t="str" cm="1">
        <f t="array" ref="F303">_xlfn.IFS(E303="Bandung","BDG",E303="Surabaya","SBY",E303="Jakarta","JKT")</f>
        <v>BDG</v>
      </c>
      <c r="G303" s="27" t="s">
        <v>78</v>
      </c>
      <c r="H303" s="27" t="s">
        <v>295</v>
      </c>
      <c r="I303" s="27" t="s">
        <v>35</v>
      </c>
      <c r="J303" s="26">
        <v>43851</v>
      </c>
      <c r="K303" s="26">
        <v>43851</v>
      </c>
      <c r="L303" s="27">
        <f t="shared" si="26"/>
        <v>0</v>
      </c>
      <c r="M303" s="45">
        <v>165600</v>
      </c>
      <c r="N303" s="45">
        <v>254700</v>
      </c>
      <c r="O303" s="27">
        <v>148</v>
      </c>
      <c r="P303" s="46">
        <f t="shared" si="27"/>
        <v>0.34982332155477031</v>
      </c>
      <c r="Q303" s="27">
        <v>43</v>
      </c>
      <c r="R303" s="44">
        <f t="shared" si="24"/>
        <v>10952100</v>
      </c>
      <c r="S303" s="29">
        <v>0.09</v>
      </c>
      <c r="T303" s="44">
        <f t="shared" si="28"/>
        <v>9966411</v>
      </c>
      <c r="U303" s="44">
        <f t="shared" si="29"/>
        <v>2845611</v>
      </c>
      <c r="V303" s="44"/>
    </row>
    <row r="304" spans="1:22" ht="14.5" x14ac:dyDescent="0.35">
      <c r="A304" s="47" t="str">
        <f t="shared" si="25"/>
        <v>SBY-OM-E1033-2017</v>
      </c>
      <c r="B304" s="26">
        <v>42747</v>
      </c>
      <c r="C304" s="42">
        <v>2017</v>
      </c>
      <c r="D304" s="27" t="s">
        <v>278</v>
      </c>
      <c r="E304" s="27" t="s">
        <v>41</v>
      </c>
      <c r="F304" s="42" t="str" cm="1">
        <f t="array" ref="F304">_xlfn.IFS(E304="Bandung","BDG",E304="Surabaya","SBY",E304="Jakarta","JKT")</f>
        <v>SBY</v>
      </c>
      <c r="G304" s="27" t="s">
        <v>60</v>
      </c>
      <c r="H304" s="27" t="s">
        <v>260</v>
      </c>
      <c r="I304" s="27" t="s">
        <v>39</v>
      </c>
      <c r="J304" s="26" t="s">
        <v>1588</v>
      </c>
      <c r="K304" s="26">
        <v>42749</v>
      </c>
      <c r="L304" s="27">
        <f t="shared" si="26"/>
        <v>2</v>
      </c>
      <c r="M304" s="45">
        <v>49800</v>
      </c>
      <c r="N304" s="45">
        <v>77700</v>
      </c>
      <c r="O304" s="27">
        <v>152</v>
      </c>
      <c r="P304" s="46">
        <f t="shared" si="27"/>
        <v>0.35907335907335908</v>
      </c>
      <c r="Q304" s="27">
        <v>10</v>
      </c>
      <c r="R304" s="44">
        <f t="shared" si="24"/>
        <v>777000</v>
      </c>
      <c r="S304" s="29">
        <v>0.01</v>
      </c>
      <c r="T304" s="44">
        <f t="shared" si="28"/>
        <v>769230</v>
      </c>
      <c r="U304" s="44">
        <f t="shared" si="29"/>
        <v>271230</v>
      </c>
      <c r="V304" s="44"/>
    </row>
    <row r="305" spans="1:22" ht="14.5" x14ac:dyDescent="0.35">
      <c r="A305" s="47" t="str">
        <f t="shared" si="25"/>
        <v>SBY-OM-E1033-2018</v>
      </c>
      <c r="B305" s="26">
        <v>43403</v>
      </c>
      <c r="C305" s="42">
        <v>2018</v>
      </c>
      <c r="D305" s="27" t="s">
        <v>278</v>
      </c>
      <c r="E305" s="27" t="s">
        <v>41</v>
      </c>
      <c r="F305" s="42" t="str" cm="1">
        <f t="array" ref="F305">_xlfn.IFS(E305="Bandung","BDG",E305="Surabaya","SBY",E305="Jakarta","JKT")</f>
        <v>SBY</v>
      </c>
      <c r="G305" s="27" t="s">
        <v>60</v>
      </c>
      <c r="H305" s="27" t="s">
        <v>269</v>
      </c>
      <c r="I305" s="27" t="s">
        <v>73</v>
      </c>
      <c r="J305" s="26">
        <v>43111</v>
      </c>
      <c r="K305" s="26">
        <v>43405</v>
      </c>
      <c r="L305" s="27">
        <f t="shared" si="26"/>
        <v>2</v>
      </c>
      <c r="M305" s="45">
        <v>37500</v>
      </c>
      <c r="N305" s="45">
        <v>85200</v>
      </c>
      <c r="O305" s="27">
        <v>142</v>
      </c>
      <c r="P305" s="46">
        <f t="shared" si="27"/>
        <v>0.5598591549295775</v>
      </c>
      <c r="Q305" s="27">
        <v>21</v>
      </c>
      <c r="R305" s="44">
        <f t="shared" si="24"/>
        <v>1789200</v>
      </c>
      <c r="S305" s="29">
        <v>7.0000000000000007E-2</v>
      </c>
      <c r="T305" s="44">
        <f t="shared" si="28"/>
        <v>1663956</v>
      </c>
      <c r="U305" s="44">
        <f t="shared" si="29"/>
        <v>876456</v>
      </c>
      <c r="V305" s="44"/>
    </row>
    <row r="306" spans="1:22" ht="14.5" x14ac:dyDescent="0.35">
      <c r="A306" s="47" t="str">
        <f t="shared" si="25"/>
        <v>SBY-OI-E1036-2020</v>
      </c>
      <c r="B306" s="26">
        <v>43897</v>
      </c>
      <c r="C306" s="42">
        <v>2020</v>
      </c>
      <c r="D306" s="27" t="s">
        <v>724</v>
      </c>
      <c r="E306" s="27" t="s">
        <v>41</v>
      </c>
      <c r="F306" s="42" t="str" cm="1">
        <f t="array" ref="F306">_xlfn.IFS(E306="Bandung","BDG",E306="Surabaya","SBY",E306="Jakarta","JKT")</f>
        <v>SBY</v>
      </c>
      <c r="G306" s="27" t="s">
        <v>78</v>
      </c>
      <c r="H306" s="27" t="s">
        <v>130</v>
      </c>
      <c r="I306" s="27" t="s">
        <v>39</v>
      </c>
      <c r="J306" s="26">
        <v>43899</v>
      </c>
      <c r="K306" s="26">
        <v>44077</v>
      </c>
      <c r="L306" s="27">
        <f t="shared" si="26"/>
        <v>180</v>
      </c>
      <c r="M306" s="45">
        <v>56250</v>
      </c>
      <c r="N306" s="45">
        <v>106200</v>
      </c>
      <c r="O306" s="27">
        <v>298</v>
      </c>
      <c r="P306" s="46">
        <f t="shared" si="27"/>
        <v>0.47033898305084748</v>
      </c>
      <c r="Q306" s="27">
        <v>29</v>
      </c>
      <c r="R306" s="44">
        <f t="shared" si="24"/>
        <v>3079800</v>
      </c>
      <c r="S306" s="29">
        <v>7.0000000000000007E-2</v>
      </c>
      <c r="T306" s="44">
        <f t="shared" si="28"/>
        <v>2864214</v>
      </c>
      <c r="U306" s="44">
        <f t="shared" si="29"/>
        <v>1232964</v>
      </c>
      <c r="V306" s="44"/>
    </row>
    <row r="307" spans="1:22" ht="14.5" x14ac:dyDescent="0.35">
      <c r="A307" s="47" t="str">
        <f t="shared" si="25"/>
        <v>SBY-OG-E1035-2018</v>
      </c>
      <c r="B307" s="26">
        <v>43238</v>
      </c>
      <c r="C307" s="42">
        <v>2018</v>
      </c>
      <c r="D307" s="27" t="s">
        <v>540</v>
      </c>
      <c r="E307" s="27" t="s">
        <v>41</v>
      </c>
      <c r="F307" s="42" t="str" cm="1">
        <f t="array" ref="F307">_xlfn.IFS(E307="Bandung","BDG",E307="Surabaya","SBY",E307="Jakarta","JKT")</f>
        <v>SBY</v>
      </c>
      <c r="G307" s="27" t="s">
        <v>71</v>
      </c>
      <c r="H307" s="27" t="s">
        <v>161</v>
      </c>
      <c r="I307" s="27" t="s">
        <v>39</v>
      </c>
      <c r="J307" s="26">
        <v>43238</v>
      </c>
      <c r="K307" s="26">
        <v>43238</v>
      </c>
      <c r="L307" s="27">
        <f t="shared" si="26"/>
        <v>0</v>
      </c>
      <c r="M307" s="45">
        <v>26400</v>
      </c>
      <c r="N307" s="45">
        <v>50700</v>
      </c>
      <c r="O307" s="27">
        <v>39</v>
      </c>
      <c r="P307" s="46">
        <f t="shared" si="27"/>
        <v>0.47928994082840237</v>
      </c>
      <c r="Q307" s="27">
        <v>5</v>
      </c>
      <c r="R307" s="44">
        <f t="shared" si="24"/>
        <v>253500</v>
      </c>
      <c r="S307" s="29">
        <v>0.08</v>
      </c>
      <c r="T307" s="44">
        <f t="shared" si="28"/>
        <v>233220</v>
      </c>
      <c r="U307" s="44">
        <f t="shared" si="29"/>
        <v>101220</v>
      </c>
      <c r="V307" s="44"/>
    </row>
    <row r="308" spans="1:22" ht="14.5" x14ac:dyDescent="0.35">
      <c r="A308" s="47" t="str">
        <f t="shared" si="25"/>
        <v>SBY-NS-E1037-2017</v>
      </c>
      <c r="B308" s="26">
        <v>42967</v>
      </c>
      <c r="C308" s="42">
        <v>2017</v>
      </c>
      <c r="D308" s="27" t="s">
        <v>416</v>
      </c>
      <c r="E308" s="27" t="s">
        <v>41</v>
      </c>
      <c r="F308" s="42" t="str" cm="1">
        <f t="array" ref="F308">_xlfn.IFS(E308="Bandung","BDG",E308="Surabaya","SBY",E308="Jakarta","JKT")</f>
        <v>SBY</v>
      </c>
      <c r="G308" s="27" t="s">
        <v>83</v>
      </c>
      <c r="H308" s="27" t="s">
        <v>185</v>
      </c>
      <c r="I308" s="27" t="s">
        <v>35</v>
      </c>
      <c r="J308" s="26" t="s">
        <v>1623</v>
      </c>
      <c r="K308" s="26">
        <v>42971</v>
      </c>
      <c r="L308" s="27">
        <f t="shared" si="26"/>
        <v>4</v>
      </c>
      <c r="M308" s="45">
        <v>19950</v>
      </c>
      <c r="N308" s="45">
        <v>31200</v>
      </c>
      <c r="O308" s="27">
        <v>147</v>
      </c>
      <c r="P308" s="46">
        <f t="shared" si="27"/>
        <v>0.36057692307692307</v>
      </c>
      <c r="Q308" s="27">
        <v>40</v>
      </c>
      <c r="R308" s="44">
        <f t="shared" si="24"/>
        <v>1248000</v>
      </c>
      <c r="S308" s="29">
        <v>0</v>
      </c>
      <c r="T308" s="44">
        <f t="shared" si="28"/>
        <v>1248000</v>
      </c>
      <c r="U308" s="44">
        <f t="shared" si="29"/>
        <v>450000</v>
      </c>
      <c r="V308" s="44"/>
    </row>
    <row r="309" spans="1:22" ht="14.5" x14ac:dyDescent="0.35">
      <c r="A309" s="47" t="str">
        <f t="shared" si="25"/>
        <v>SBY-NS-E1037-2018</v>
      </c>
      <c r="B309" s="26">
        <v>43247</v>
      </c>
      <c r="C309" s="42">
        <v>2018</v>
      </c>
      <c r="D309" s="27" t="s">
        <v>416</v>
      </c>
      <c r="E309" s="27" t="s">
        <v>41</v>
      </c>
      <c r="F309" s="42" t="str" cm="1">
        <f t="array" ref="F309">_xlfn.IFS(E309="Bandung","BDG",E309="Surabaya","SBY",E309="Jakarta","JKT")</f>
        <v>SBY</v>
      </c>
      <c r="G309" s="27" t="s">
        <v>83</v>
      </c>
      <c r="H309" s="27" t="s">
        <v>251</v>
      </c>
      <c r="I309" s="27" t="s">
        <v>73</v>
      </c>
      <c r="J309" s="26" t="s">
        <v>1670</v>
      </c>
      <c r="K309" s="26">
        <v>43247</v>
      </c>
      <c r="L309" s="27">
        <f t="shared" si="26"/>
        <v>0</v>
      </c>
      <c r="M309" s="45">
        <v>77850</v>
      </c>
      <c r="N309" s="45">
        <v>194700</v>
      </c>
      <c r="O309" s="27">
        <v>340</v>
      </c>
      <c r="P309" s="46">
        <f t="shared" si="27"/>
        <v>0.60015408320493069</v>
      </c>
      <c r="Q309" s="27">
        <v>50</v>
      </c>
      <c r="R309" s="44">
        <f t="shared" si="24"/>
        <v>9735000</v>
      </c>
      <c r="S309" s="29">
        <v>0.08</v>
      </c>
      <c r="T309" s="44">
        <f t="shared" si="28"/>
        <v>8956200</v>
      </c>
      <c r="U309" s="44">
        <f t="shared" si="29"/>
        <v>5063700</v>
      </c>
      <c r="V309" s="44"/>
    </row>
    <row r="310" spans="1:22" ht="14.5" x14ac:dyDescent="0.35">
      <c r="A310" s="47" t="str">
        <f t="shared" si="25"/>
        <v>SBY-NS-E1037-2019</v>
      </c>
      <c r="B310" s="26">
        <v>43698</v>
      </c>
      <c r="C310" s="42">
        <v>2019</v>
      </c>
      <c r="D310" s="27" t="s">
        <v>416</v>
      </c>
      <c r="E310" s="27" t="s">
        <v>41</v>
      </c>
      <c r="F310" s="42" t="str" cm="1">
        <f t="array" ref="F310">_xlfn.IFS(E310="Bandung","BDG",E310="Surabaya","SBY",E310="Jakarta","JKT")</f>
        <v>SBY</v>
      </c>
      <c r="G310" s="27" t="s">
        <v>83</v>
      </c>
      <c r="H310" s="27" t="s">
        <v>219</v>
      </c>
      <c r="I310" s="27" t="s">
        <v>39</v>
      </c>
      <c r="J310" s="26">
        <v>43702</v>
      </c>
      <c r="K310" s="26">
        <v>43702</v>
      </c>
      <c r="L310" s="27">
        <f t="shared" si="26"/>
        <v>4</v>
      </c>
      <c r="M310" s="45">
        <v>29250</v>
      </c>
      <c r="N310" s="45">
        <v>59700</v>
      </c>
      <c r="O310" s="27">
        <v>102</v>
      </c>
      <c r="P310" s="46">
        <f t="shared" si="27"/>
        <v>0.51005025125628145</v>
      </c>
      <c r="Q310" s="27">
        <v>27</v>
      </c>
      <c r="R310" s="44">
        <f t="shared" si="24"/>
        <v>1611900</v>
      </c>
      <c r="S310" s="29">
        <v>0.06</v>
      </c>
      <c r="T310" s="44">
        <f t="shared" si="28"/>
        <v>1515186</v>
      </c>
      <c r="U310" s="44">
        <f t="shared" si="29"/>
        <v>725436</v>
      </c>
      <c r="V310" s="44"/>
    </row>
    <row r="311" spans="1:22" ht="14.5" x14ac:dyDescent="0.35">
      <c r="A311" s="47" t="str">
        <f t="shared" si="25"/>
        <v>SBY-NS-E1040-2017</v>
      </c>
      <c r="B311" s="26">
        <v>42931</v>
      </c>
      <c r="C311" s="42">
        <v>2017</v>
      </c>
      <c r="D311" s="27" t="s">
        <v>397</v>
      </c>
      <c r="E311" s="27" t="s">
        <v>41</v>
      </c>
      <c r="F311" s="42" t="str" cm="1">
        <f t="array" ref="F311">_xlfn.IFS(E311="Bandung","BDG",E311="Surabaya","SBY",E311="Jakarta","JKT")</f>
        <v>SBY</v>
      </c>
      <c r="G311" s="27" t="s">
        <v>160</v>
      </c>
      <c r="H311" s="27" t="s">
        <v>231</v>
      </c>
      <c r="I311" s="27" t="s">
        <v>73</v>
      </c>
      <c r="J311" s="26" t="s">
        <v>1614</v>
      </c>
      <c r="K311" s="26">
        <v>42933</v>
      </c>
      <c r="L311" s="27">
        <f t="shared" si="26"/>
        <v>2</v>
      </c>
      <c r="M311" s="45">
        <v>21900</v>
      </c>
      <c r="N311" s="45">
        <v>53550</v>
      </c>
      <c r="O311" s="27">
        <v>83</v>
      </c>
      <c r="P311" s="46">
        <f t="shared" si="27"/>
        <v>0.59103641456582634</v>
      </c>
      <c r="Q311" s="27">
        <v>41</v>
      </c>
      <c r="R311" s="44">
        <f t="shared" si="24"/>
        <v>2195550</v>
      </c>
      <c r="S311" s="29">
        <v>0.03</v>
      </c>
      <c r="T311" s="44">
        <f t="shared" si="28"/>
        <v>2129683.5</v>
      </c>
      <c r="U311" s="44">
        <f t="shared" si="29"/>
        <v>1231783.5</v>
      </c>
      <c r="V311" s="44"/>
    </row>
    <row r="312" spans="1:22" ht="14.5" x14ac:dyDescent="0.35">
      <c r="A312" s="47" t="str">
        <f t="shared" si="25"/>
        <v>SBY-NS-E1040-2020</v>
      </c>
      <c r="B312" s="26">
        <v>43866</v>
      </c>
      <c r="C312" s="42">
        <v>2020</v>
      </c>
      <c r="D312" s="27" t="s">
        <v>397</v>
      </c>
      <c r="E312" s="27" t="s">
        <v>41</v>
      </c>
      <c r="F312" s="42" t="str" cm="1">
        <f t="array" ref="F312">_xlfn.IFS(E312="Bandung","BDG",E312="Surabaya","SBY",E312="Jakarta","JKT")</f>
        <v>SBY</v>
      </c>
      <c r="G312" s="27" t="s">
        <v>160</v>
      </c>
      <c r="H312" s="27" t="s">
        <v>225</v>
      </c>
      <c r="I312" s="27" t="s">
        <v>35</v>
      </c>
      <c r="J312" s="26">
        <v>43868</v>
      </c>
      <c r="K312" s="26">
        <v>44014</v>
      </c>
      <c r="L312" s="27">
        <f t="shared" si="26"/>
        <v>148</v>
      </c>
      <c r="M312" s="45">
        <v>27600</v>
      </c>
      <c r="N312" s="45">
        <v>43200</v>
      </c>
      <c r="O312" s="27">
        <v>156</v>
      </c>
      <c r="P312" s="46">
        <f t="shared" si="27"/>
        <v>0.3611111111111111</v>
      </c>
      <c r="Q312" s="27">
        <v>32</v>
      </c>
      <c r="R312" s="44">
        <f t="shared" si="24"/>
        <v>1382400</v>
      </c>
      <c r="S312" s="29">
        <v>0.01</v>
      </c>
      <c r="T312" s="44">
        <f t="shared" si="28"/>
        <v>1368576</v>
      </c>
      <c r="U312" s="44">
        <f t="shared" si="29"/>
        <v>485376</v>
      </c>
      <c r="V312" s="44"/>
    </row>
    <row r="313" spans="1:22" ht="14.5" x14ac:dyDescent="0.35">
      <c r="A313" s="47" t="str">
        <f t="shared" si="25"/>
        <v>SBY-NN-E1033-2016</v>
      </c>
      <c r="B313" s="26">
        <v>42711</v>
      </c>
      <c r="C313" s="42">
        <v>2016</v>
      </c>
      <c r="D313" s="27" t="s">
        <v>253</v>
      </c>
      <c r="E313" s="27" t="s">
        <v>41</v>
      </c>
      <c r="F313" s="42" t="str" cm="1">
        <f t="array" ref="F313">_xlfn.IFS(E313="Bandung","BDG",E313="Surabaya","SBY",E313="Jakarta","JKT")</f>
        <v>SBY</v>
      </c>
      <c r="G313" s="27" t="s">
        <v>60</v>
      </c>
      <c r="H313" s="27" t="s">
        <v>87</v>
      </c>
      <c r="I313" s="27" t="s">
        <v>35</v>
      </c>
      <c r="J313" s="26">
        <v>42594</v>
      </c>
      <c r="K313" s="26">
        <v>42712</v>
      </c>
      <c r="L313" s="27">
        <f t="shared" si="26"/>
        <v>1</v>
      </c>
      <c r="M313" s="45">
        <v>52800</v>
      </c>
      <c r="N313" s="45">
        <v>85200</v>
      </c>
      <c r="O313" s="27">
        <v>194</v>
      </c>
      <c r="P313" s="46">
        <f t="shared" si="27"/>
        <v>0.38028169014084506</v>
      </c>
      <c r="Q313" s="27">
        <v>32</v>
      </c>
      <c r="R313" s="44">
        <f t="shared" si="24"/>
        <v>2726400</v>
      </c>
      <c r="S313" s="29">
        <v>0.05</v>
      </c>
      <c r="T313" s="44">
        <f t="shared" si="28"/>
        <v>2590080</v>
      </c>
      <c r="U313" s="44">
        <f t="shared" si="29"/>
        <v>900480</v>
      </c>
      <c r="V313" s="44"/>
    </row>
    <row r="314" spans="1:22" ht="14.5" x14ac:dyDescent="0.35">
      <c r="A314" s="47" t="str">
        <f t="shared" si="25"/>
        <v>SBY-NN-E1033-2016</v>
      </c>
      <c r="B314" s="26">
        <v>42715</v>
      </c>
      <c r="C314" s="42">
        <v>2016</v>
      </c>
      <c r="D314" s="27" t="s">
        <v>253</v>
      </c>
      <c r="E314" s="27" t="s">
        <v>41</v>
      </c>
      <c r="F314" s="42" t="str" cm="1">
        <f t="array" ref="F314">_xlfn.IFS(E314="Bandung","BDG",E314="Surabaya","SBY",E314="Jakarta","JKT")</f>
        <v>SBY</v>
      </c>
      <c r="G314" s="27" t="s">
        <v>60</v>
      </c>
      <c r="H314" s="27" t="s">
        <v>109</v>
      </c>
      <c r="I314" s="27" t="s">
        <v>35</v>
      </c>
      <c r="J314" s="26">
        <v>42716</v>
      </c>
      <c r="K314" s="26">
        <v>42716</v>
      </c>
      <c r="L314" s="27">
        <f t="shared" si="26"/>
        <v>1</v>
      </c>
      <c r="M314" s="45">
        <v>130650.00000000001</v>
      </c>
      <c r="N314" s="45">
        <v>214200</v>
      </c>
      <c r="O314" s="27">
        <v>50</v>
      </c>
      <c r="P314" s="46">
        <f t="shared" si="27"/>
        <v>0.39005602240896353</v>
      </c>
      <c r="Q314" s="27">
        <v>8</v>
      </c>
      <c r="R314" s="44">
        <f t="shared" si="24"/>
        <v>1713600</v>
      </c>
      <c r="S314" s="29">
        <v>0.01</v>
      </c>
      <c r="T314" s="44">
        <f t="shared" si="28"/>
        <v>1696464</v>
      </c>
      <c r="U314" s="44">
        <f t="shared" si="29"/>
        <v>651263.99999999988</v>
      </c>
      <c r="V314" s="44"/>
    </row>
    <row r="315" spans="1:22" ht="14.5" x14ac:dyDescent="0.35">
      <c r="A315" s="47" t="str">
        <f t="shared" si="25"/>
        <v>SBY-NN-E1033-2017</v>
      </c>
      <c r="B315" s="26">
        <v>42837</v>
      </c>
      <c r="C315" s="42">
        <v>2017</v>
      </c>
      <c r="D315" s="27" t="s">
        <v>253</v>
      </c>
      <c r="E315" s="27" t="s">
        <v>41</v>
      </c>
      <c r="F315" s="42" t="str" cm="1">
        <f t="array" ref="F315">_xlfn.IFS(E315="Bandung","BDG",E315="Surabaya","SBY",E315="Jakarta","JKT")</f>
        <v>SBY</v>
      </c>
      <c r="G315" s="27" t="s">
        <v>60</v>
      </c>
      <c r="H315" s="27" t="s">
        <v>154</v>
      </c>
      <c r="I315" s="27" t="s">
        <v>35</v>
      </c>
      <c r="J315" s="26">
        <v>42838</v>
      </c>
      <c r="K315" s="26">
        <v>42838</v>
      </c>
      <c r="L315" s="27">
        <f t="shared" si="26"/>
        <v>1</v>
      </c>
      <c r="M315" s="45">
        <v>908850</v>
      </c>
      <c r="N315" s="45">
        <v>1514700</v>
      </c>
      <c r="O315" s="27">
        <v>90</v>
      </c>
      <c r="P315" s="46">
        <f t="shared" si="27"/>
        <v>0.39998019409784114</v>
      </c>
      <c r="Q315" s="27">
        <v>1</v>
      </c>
      <c r="R315" s="44">
        <f t="shared" si="24"/>
        <v>1514700</v>
      </c>
      <c r="S315" s="29">
        <v>0.1</v>
      </c>
      <c r="T315" s="44">
        <f t="shared" si="28"/>
        <v>1363230</v>
      </c>
      <c r="U315" s="44">
        <f t="shared" si="29"/>
        <v>454380</v>
      </c>
      <c r="V315" s="44"/>
    </row>
    <row r="316" spans="1:22" ht="14.5" x14ac:dyDescent="0.35">
      <c r="A316" s="47" t="str">
        <f t="shared" si="25"/>
        <v>SBY-NN-E1033-2020</v>
      </c>
      <c r="B316" s="26">
        <v>43831</v>
      </c>
      <c r="C316" s="42">
        <v>2020</v>
      </c>
      <c r="D316" s="27" t="s">
        <v>253</v>
      </c>
      <c r="E316" s="27" t="s">
        <v>41</v>
      </c>
      <c r="F316" s="42" t="str" cm="1">
        <f t="array" ref="F316">_xlfn.IFS(E316="Bandung","BDG",E316="Surabaya","SBY",E316="Jakarta","JKT")</f>
        <v>SBY</v>
      </c>
      <c r="G316" s="27" t="s">
        <v>60</v>
      </c>
      <c r="H316" s="27" t="s">
        <v>336</v>
      </c>
      <c r="I316" s="27" t="s">
        <v>35</v>
      </c>
      <c r="J316" s="26">
        <v>43831</v>
      </c>
      <c r="K316" s="26">
        <v>43831</v>
      </c>
      <c r="L316" s="27">
        <f t="shared" si="26"/>
        <v>0</v>
      </c>
      <c r="M316" s="45">
        <v>47100</v>
      </c>
      <c r="N316" s="45">
        <v>73650</v>
      </c>
      <c r="O316" s="27">
        <v>49</v>
      </c>
      <c r="P316" s="46">
        <f t="shared" si="27"/>
        <v>0.3604887983706721</v>
      </c>
      <c r="Q316" s="27">
        <v>13</v>
      </c>
      <c r="R316" s="44">
        <f t="shared" si="24"/>
        <v>957450</v>
      </c>
      <c r="S316" s="29">
        <v>0.01</v>
      </c>
      <c r="T316" s="44">
        <f t="shared" si="28"/>
        <v>947875.5</v>
      </c>
      <c r="U316" s="44">
        <f t="shared" si="29"/>
        <v>335575.5</v>
      </c>
      <c r="V316" s="44"/>
    </row>
    <row r="317" spans="1:22" ht="14.5" x14ac:dyDescent="0.35">
      <c r="A317" s="47" t="str">
        <f t="shared" si="25"/>
        <v>SBY-NH-E1031-2019</v>
      </c>
      <c r="B317" s="26">
        <v>43544</v>
      </c>
      <c r="C317" s="42">
        <v>2019</v>
      </c>
      <c r="D317" s="27" t="s">
        <v>646</v>
      </c>
      <c r="E317" s="27" t="s">
        <v>41</v>
      </c>
      <c r="F317" s="42" t="str" cm="1">
        <f t="array" ref="F317">_xlfn.IFS(E317="Bandung","BDG",E317="Surabaya","SBY",E317="Jakarta","JKT")</f>
        <v>SBY</v>
      </c>
      <c r="G317" s="27" t="s">
        <v>48</v>
      </c>
      <c r="H317" s="27" t="s">
        <v>138</v>
      </c>
      <c r="I317" s="27" t="s">
        <v>35</v>
      </c>
      <c r="J317" s="26">
        <v>43545</v>
      </c>
      <c r="K317" s="26">
        <v>43545</v>
      </c>
      <c r="L317" s="27">
        <f t="shared" si="26"/>
        <v>1</v>
      </c>
      <c r="M317" s="45">
        <v>17700</v>
      </c>
      <c r="N317" s="45">
        <v>28200</v>
      </c>
      <c r="O317" s="27">
        <v>267</v>
      </c>
      <c r="P317" s="46">
        <f t="shared" si="27"/>
        <v>0.37234042553191488</v>
      </c>
      <c r="Q317" s="27">
        <v>20</v>
      </c>
      <c r="R317" s="44">
        <f t="shared" si="24"/>
        <v>564000</v>
      </c>
      <c r="S317" s="29">
        <v>7.0000000000000007E-2</v>
      </c>
      <c r="T317" s="44">
        <f t="shared" si="28"/>
        <v>524520</v>
      </c>
      <c r="U317" s="44">
        <f t="shared" si="29"/>
        <v>170520</v>
      </c>
      <c r="V317" s="44"/>
    </row>
    <row r="318" spans="1:22" ht="14.5" x14ac:dyDescent="0.35">
      <c r="A318" s="47" t="str">
        <f t="shared" si="25"/>
        <v>SBY-NL-E1031-2019</v>
      </c>
      <c r="B318" s="26">
        <v>43751</v>
      </c>
      <c r="C318" s="42">
        <v>2019</v>
      </c>
      <c r="D318" s="27" t="s">
        <v>696</v>
      </c>
      <c r="E318" s="27" t="s">
        <v>41</v>
      </c>
      <c r="F318" s="42" t="str" cm="1">
        <f t="array" ref="F318">_xlfn.IFS(E318="Bandung","BDG",E318="Surabaya","SBY",E318="Jakarta","JKT")</f>
        <v>SBY</v>
      </c>
      <c r="G318" s="27" t="s">
        <v>48</v>
      </c>
      <c r="H318" s="27" t="s">
        <v>123</v>
      </c>
      <c r="I318" s="27" t="s">
        <v>35</v>
      </c>
      <c r="J318" s="26" t="s">
        <v>1753</v>
      </c>
      <c r="K318" s="26">
        <v>43753</v>
      </c>
      <c r="L318" s="27">
        <f t="shared" si="26"/>
        <v>2</v>
      </c>
      <c r="M318" s="45">
        <v>208200</v>
      </c>
      <c r="N318" s="45">
        <v>335700</v>
      </c>
      <c r="O318" s="27">
        <v>377</v>
      </c>
      <c r="P318" s="46">
        <f t="shared" si="27"/>
        <v>0.37980339588918677</v>
      </c>
      <c r="Q318" s="27">
        <v>9</v>
      </c>
      <c r="R318" s="44">
        <f t="shared" si="24"/>
        <v>3021300</v>
      </c>
      <c r="S318" s="29">
        <v>0.03</v>
      </c>
      <c r="T318" s="44">
        <f t="shared" si="28"/>
        <v>2930661</v>
      </c>
      <c r="U318" s="44">
        <f t="shared" si="29"/>
        <v>1056861</v>
      </c>
      <c r="V318" s="44"/>
    </row>
    <row r="319" spans="1:22" ht="14.5" x14ac:dyDescent="0.35">
      <c r="A319" s="47" t="str">
        <f t="shared" si="25"/>
        <v>SBY-NL-E1031-2020</v>
      </c>
      <c r="B319" s="26">
        <v>43833</v>
      </c>
      <c r="C319" s="42">
        <v>2020</v>
      </c>
      <c r="D319" s="27" t="s">
        <v>696</v>
      </c>
      <c r="E319" s="27" t="s">
        <v>41</v>
      </c>
      <c r="F319" s="42" t="str" cm="1">
        <f t="array" ref="F319">_xlfn.IFS(E319="Bandung","BDG",E319="Surabaya","SBY",E319="Jakarta","JKT")</f>
        <v>SBY</v>
      </c>
      <c r="G319" s="27" t="s">
        <v>48</v>
      </c>
      <c r="H319" s="27" t="s">
        <v>156</v>
      </c>
      <c r="I319" s="27" t="s">
        <v>39</v>
      </c>
      <c r="J319" s="26">
        <v>43891</v>
      </c>
      <c r="K319" s="26">
        <v>43833</v>
      </c>
      <c r="L319" s="27">
        <f t="shared" si="26"/>
        <v>0</v>
      </c>
      <c r="M319" s="45">
        <v>52200</v>
      </c>
      <c r="N319" s="45">
        <v>81450</v>
      </c>
      <c r="O319" s="27">
        <v>152</v>
      </c>
      <c r="P319" s="46">
        <f t="shared" si="27"/>
        <v>0.35911602209944754</v>
      </c>
      <c r="Q319" s="27">
        <v>12</v>
      </c>
      <c r="R319" s="44">
        <f t="shared" si="24"/>
        <v>977400</v>
      </c>
      <c r="S319" s="29">
        <v>0.01</v>
      </c>
      <c r="T319" s="44">
        <f t="shared" si="28"/>
        <v>967626</v>
      </c>
      <c r="U319" s="44">
        <f t="shared" si="29"/>
        <v>341226</v>
      </c>
      <c r="V319" s="44"/>
    </row>
    <row r="320" spans="1:22" ht="14.5" x14ac:dyDescent="0.35">
      <c r="A320" s="47" t="str">
        <f t="shared" si="25"/>
        <v>JKT-NS-E1028-2016</v>
      </c>
      <c r="B320" s="26">
        <v>42522</v>
      </c>
      <c r="C320" s="42">
        <v>2016</v>
      </c>
      <c r="D320" s="27" t="s">
        <v>50</v>
      </c>
      <c r="E320" s="27" t="s">
        <v>32</v>
      </c>
      <c r="F320" s="42" t="str" cm="1">
        <f t="array" ref="F320">_xlfn.IFS(E320="Bandung","BDG",E320="Surabaya","SBY",E320="Jakarta","JKT")</f>
        <v>JKT</v>
      </c>
      <c r="G320" s="27" t="s">
        <v>33</v>
      </c>
      <c r="H320" s="27" t="s">
        <v>51</v>
      </c>
      <c r="I320" s="27" t="s">
        <v>39</v>
      </c>
      <c r="J320" s="26">
        <v>42527</v>
      </c>
      <c r="K320" s="26">
        <v>42527</v>
      </c>
      <c r="L320" s="27">
        <f t="shared" si="26"/>
        <v>5</v>
      </c>
      <c r="M320" s="45">
        <v>16350.000000000002</v>
      </c>
      <c r="N320" s="45">
        <v>39000</v>
      </c>
      <c r="O320" s="27">
        <v>257</v>
      </c>
      <c r="P320" s="46">
        <f t="shared" si="27"/>
        <v>0.58076923076923082</v>
      </c>
      <c r="Q320" s="27">
        <v>47</v>
      </c>
      <c r="R320" s="44">
        <f t="shared" si="24"/>
        <v>1833000</v>
      </c>
      <c r="S320" s="29">
        <v>0.1</v>
      </c>
      <c r="T320" s="44">
        <f t="shared" si="28"/>
        <v>1649700</v>
      </c>
      <c r="U320" s="44">
        <f t="shared" si="29"/>
        <v>881249.99999999988</v>
      </c>
      <c r="V320" s="44"/>
    </row>
    <row r="321" spans="1:22" ht="14.5" x14ac:dyDescent="0.35">
      <c r="A321" s="47" t="str">
        <f t="shared" si="25"/>
        <v>JKT-NS-E1028-2019</v>
      </c>
      <c r="B321" s="26">
        <v>43557</v>
      </c>
      <c r="C321" s="42">
        <v>2019</v>
      </c>
      <c r="D321" s="27" t="s">
        <v>50</v>
      </c>
      <c r="E321" s="27" t="s">
        <v>32</v>
      </c>
      <c r="F321" s="42" t="str" cm="1">
        <f t="array" ref="F321">_xlfn.IFS(E321="Bandung","BDG",E321="Surabaya","SBY",E321="Jakarta","JKT")</f>
        <v>JKT</v>
      </c>
      <c r="G321" s="27" t="s">
        <v>33</v>
      </c>
      <c r="H321" s="27" t="s">
        <v>260</v>
      </c>
      <c r="I321" s="27" t="s">
        <v>39</v>
      </c>
      <c r="J321" s="26">
        <v>43559</v>
      </c>
      <c r="K321" s="26">
        <v>43559</v>
      </c>
      <c r="L321" s="27">
        <f t="shared" si="26"/>
        <v>2</v>
      </c>
      <c r="M321" s="45">
        <v>49800</v>
      </c>
      <c r="N321" s="45">
        <v>77700</v>
      </c>
      <c r="O321" s="27">
        <v>142</v>
      </c>
      <c r="P321" s="46">
        <f t="shared" si="27"/>
        <v>0.35907335907335908</v>
      </c>
      <c r="Q321" s="27">
        <v>25</v>
      </c>
      <c r="R321" s="44">
        <f t="shared" si="24"/>
        <v>1942500</v>
      </c>
      <c r="S321" s="29">
        <v>0.1</v>
      </c>
      <c r="T321" s="44">
        <f t="shared" si="28"/>
        <v>1748250</v>
      </c>
      <c r="U321" s="44">
        <f t="shared" si="29"/>
        <v>503250</v>
      </c>
      <c r="V321" s="44"/>
    </row>
    <row r="322" spans="1:22" ht="14.5" x14ac:dyDescent="0.35">
      <c r="A322" s="47" t="str">
        <f t="shared" si="25"/>
        <v>SBY-NP-E1036-2017</v>
      </c>
      <c r="B322" s="26">
        <v>42936</v>
      </c>
      <c r="C322" s="42">
        <v>2017</v>
      </c>
      <c r="D322" s="27" t="s">
        <v>403</v>
      </c>
      <c r="E322" s="27" t="s">
        <v>41</v>
      </c>
      <c r="F322" s="42" t="str" cm="1">
        <f t="array" ref="F322">_xlfn.IFS(E322="Bandung","BDG",E322="Surabaya","SBY",E322="Jakarta","JKT")</f>
        <v>SBY</v>
      </c>
      <c r="G322" s="27" t="s">
        <v>78</v>
      </c>
      <c r="H322" s="27" t="s">
        <v>363</v>
      </c>
      <c r="I322" s="27" t="s">
        <v>236</v>
      </c>
      <c r="J322" s="26">
        <v>42938</v>
      </c>
      <c r="K322" s="26">
        <v>42938</v>
      </c>
      <c r="L322" s="27">
        <f t="shared" si="26"/>
        <v>2</v>
      </c>
      <c r="M322" s="45">
        <v>5669850</v>
      </c>
      <c r="N322" s="45">
        <v>8999850</v>
      </c>
      <c r="O322" s="27">
        <v>264</v>
      </c>
      <c r="P322" s="46">
        <f t="shared" si="27"/>
        <v>0.37000616676944614</v>
      </c>
      <c r="Q322" s="27">
        <v>30</v>
      </c>
      <c r="R322" s="44">
        <f t="shared" si="24"/>
        <v>269995500</v>
      </c>
      <c r="S322" s="29">
        <v>0.09</v>
      </c>
      <c r="T322" s="44">
        <f t="shared" si="28"/>
        <v>245695905</v>
      </c>
      <c r="U322" s="44">
        <f t="shared" si="29"/>
        <v>75600405</v>
      </c>
      <c r="V322" s="44"/>
    </row>
    <row r="323" spans="1:22" ht="14.5" x14ac:dyDescent="0.35">
      <c r="A323" s="47" t="str">
        <f t="shared" si="25"/>
        <v>SBY-NP-E1036-2018</v>
      </c>
      <c r="B323" s="26">
        <v>43122</v>
      </c>
      <c r="C323" s="42">
        <v>2018</v>
      </c>
      <c r="D323" s="27" t="s">
        <v>403</v>
      </c>
      <c r="E323" s="27" t="s">
        <v>41</v>
      </c>
      <c r="F323" s="42" t="str" cm="1">
        <f t="array" ref="F323">_xlfn.IFS(E323="Bandung","BDG",E323="Surabaya","SBY",E323="Jakarta","JKT")</f>
        <v>SBY</v>
      </c>
      <c r="G323" s="27" t="s">
        <v>78</v>
      </c>
      <c r="H323" s="27" t="s">
        <v>490</v>
      </c>
      <c r="I323" s="27" t="s">
        <v>35</v>
      </c>
      <c r="J323" s="26" t="s">
        <v>1651</v>
      </c>
      <c r="K323" s="26">
        <v>43129</v>
      </c>
      <c r="L323" s="27">
        <f t="shared" si="26"/>
        <v>7</v>
      </c>
      <c r="M323" s="45">
        <v>17850</v>
      </c>
      <c r="N323" s="45">
        <v>29700</v>
      </c>
      <c r="O323" s="27">
        <v>78</v>
      </c>
      <c r="P323" s="46">
        <f t="shared" si="27"/>
        <v>0.39898989898989901</v>
      </c>
      <c r="Q323" s="27">
        <v>38</v>
      </c>
      <c r="R323" s="44">
        <f t="shared" si="24"/>
        <v>1128600</v>
      </c>
      <c r="S323" s="29">
        <v>0.05</v>
      </c>
      <c r="T323" s="44">
        <f t="shared" si="28"/>
        <v>1072170</v>
      </c>
      <c r="U323" s="44">
        <f t="shared" si="29"/>
        <v>393870</v>
      </c>
      <c r="V323" s="44"/>
    </row>
    <row r="324" spans="1:22" ht="14.5" x14ac:dyDescent="0.35">
      <c r="A324" s="47" t="str">
        <f t="shared" si="25"/>
        <v>SBY-NP-E1036-2019</v>
      </c>
      <c r="B324" s="26">
        <v>43741</v>
      </c>
      <c r="C324" s="42">
        <v>2019</v>
      </c>
      <c r="D324" s="27" t="s">
        <v>403</v>
      </c>
      <c r="E324" s="27" t="s">
        <v>41</v>
      </c>
      <c r="F324" s="42" t="str" cm="1">
        <f t="array" ref="F324">_xlfn.IFS(E324="Bandung","BDG",E324="Surabaya","SBY",E324="Jakarta","JKT")</f>
        <v>SBY</v>
      </c>
      <c r="G324" s="27" t="s">
        <v>78</v>
      </c>
      <c r="H324" s="27" t="s">
        <v>178</v>
      </c>
      <c r="I324" s="27" t="s">
        <v>39</v>
      </c>
      <c r="J324" s="26">
        <v>43626</v>
      </c>
      <c r="K324" s="26">
        <v>43744</v>
      </c>
      <c r="L324" s="27">
        <f t="shared" si="26"/>
        <v>3</v>
      </c>
      <c r="M324" s="45">
        <v>24000</v>
      </c>
      <c r="N324" s="45">
        <v>39300</v>
      </c>
      <c r="O324" s="27">
        <v>261</v>
      </c>
      <c r="P324" s="46">
        <f t="shared" si="27"/>
        <v>0.38931297709923662</v>
      </c>
      <c r="Q324" s="27">
        <v>30</v>
      </c>
      <c r="R324" s="44">
        <f t="shared" ref="R324:R387" si="30">N324*Q324</f>
        <v>1179000</v>
      </c>
      <c r="S324" s="29">
        <v>0.05</v>
      </c>
      <c r="T324" s="44">
        <f t="shared" si="28"/>
        <v>1120050</v>
      </c>
      <c r="U324" s="44">
        <f t="shared" si="29"/>
        <v>400050</v>
      </c>
      <c r="V324" s="44"/>
    </row>
    <row r="325" spans="1:22" ht="14.5" x14ac:dyDescent="0.35">
      <c r="A325" s="47" t="str">
        <f t="shared" ref="A325:A388" si="31">_xlfn.CONCAT(F325,"-",LEFT(D325,1),MID(D325,FIND(" ",D325)+1,1),"-",G325,"-",C325)</f>
        <v>SBY-NP-E1036-2019</v>
      </c>
      <c r="B325" s="26">
        <v>43741</v>
      </c>
      <c r="C325" s="42">
        <v>2019</v>
      </c>
      <c r="D325" s="27" t="s">
        <v>403</v>
      </c>
      <c r="E325" s="27" t="s">
        <v>41</v>
      </c>
      <c r="F325" s="42" t="str" cm="1">
        <f t="array" ref="F325">_xlfn.IFS(E325="Bandung","BDG",E325="Surabaya","SBY",E325="Jakarta","JKT")</f>
        <v>SBY</v>
      </c>
      <c r="G325" s="27" t="s">
        <v>78</v>
      </c>
      <c r="H325" s="27" t="s">
        <v>227</v>
      </c>
      <c r="I325" s="27" t="s">
        <v>39</v>
      </c>
      <c r="J325" s="26">
        <v>43534</v>
      </c>
      <c r="K325" s="26">
        <v>43741</v>
      </c>
      <c r="L325" s="27">
        <f t="shared" ref="L325:L388" si="32">K325-B325</f>
        <v>0</v>
      </c>
      <c r="M325" s="45">
        <v>22950</v>
      </c>
      <c r="N325" s="45">
        <v>41700</v>
      </c>
      <c r="O325" s="27">
        <v>275</v>
      </c>
      <c r="P325" s="46">
        <f t="shared" ref="P325:P388" si="33">(N325-M325)/N325</f>
        <v>0.44964028776978415</v>
      </c>
      <c r="Q325" s="27">
        <v>47</v>
      </c>
      <c r="R325" s="44">
        <f t="shared" si="30"/>
        <v>1959900</v>
      </c>
      <c r="S325" s="29">
        <v>0.1</v>
      </c>
      <c r="T325" s="44">
        <f t="shared" ref="T325:T388" si="34">R325*(1-S325)</f>
        <v>1763910</v>
      </c>
      <c r="U325" s="44">
        <f t="shared" ref="U325:U388" si="35">T325-(M325*Q325)</f>
        <v>685260</v>
      </c>
      <c r="V325" s="44"/>
    </row>
    <row r="326" spans="1:22" ht="14.5" x14ac:dyDescent="0.35">
      <c r="A326" s="47" t="str">
        <f t="shared" si="31"/>
        <v>SBY-NL-E1033-2018</v>
      </c>
      <c r="B326" s="26">
        <v>43279</v>
      </c>
      <c r="C326" s="42">
        <v>2018</v>
      </c>
      <c r="D326" s="27" t="s">
        <v>558</v>
      </c>
      <c r="E326" s="27" t="s">
        <v>41</v>
      </c>
      <c r="F326" s="42" t="str" cm="1">
        <f t="array" ref="F326">_xlfn.IFS(E326="Bandung","BDG",E326="Surabaya","SBY",E326="Jakarta","JKT")</f>
        <v>SBY</v>
      </c>
      <c r="G326" s="27" t="s">
        <v>60</v>
      </c>
      <c r="H326" s="27" t="s">
        <v>402</v>
      </c>
      <c r="I326" s="27" t="s">
        <v>46</v>
      </c>
      <c r="J326" s="26" t="s">
        <v>1675</v>
      </c>
      <c r="K326" s="26">
        <v>43280</v>
      </c>
      <c r="L326" s="27">
        <f t="shared" si="32"/>
        <v>1</v>
      </c>
      <c r="M326" s="45">
        <v>4734150</v>
      </c>
      <c r="N326" s="45">
        <v>7514550</v>
      </c>
      <c r="O326" s="27">
        <v>115</v>
      </c>
      <c r="P326" s="46">
        <f t="shared" si="33"/>
        <v>0.37000219574026388</v>
      </c>
      <c r="Q326" s="27">
        <v>3</v>
      </c>
      <c r="R326" s="44">
        <f t="shared" si="30"/>
        <v>22543650</v>
      </c>
      <c r="S326" s="29">
        <v>0.06</v>
      </c>
      <c r="T326" s="44">
        <f t="shared" si="34"/>
        <v>21191031</v>
      </c>
      <c r="U326" s="44">
        <f t="shared" si="35"/>
        <v>6988581</v>
      </c>
      <c r="V326" s="44"/>
    </row>
    <row r="327" spans="1:22" ht="14.5" x14ac:dyDescent="0.35">
      <c r="A327" s="47" t="str">
        <f t="shared" si="31"/>
        <v>SBY-NL-E1033-2018</v>
      </c>
      <c r="B327" s="26">
        <v>43394</v>
      </c>
      <c r="C327" s="42">
        <v>2018</v>
      </c>
      <c r="D327" s="27" t="s">
        <v>558</v>
      </c>
      <c r="E327" s="27" t="s">
        <v>41</v>
      </c>
      <c r="F327" s="42" t="str" cm="1">
        <f t="array" ref="F327">_xlfn.IFS(E327="Bandung","BDG",E327="Surabaya","SBY",E327="Jakarta","JKT")</f>
        <v>SBY</v>
      </c>
      <c r="G327" s="27" t="s">
        <v>60</v>
      </c>
      <c r="H327" s="27" t="s">
        <v>247</v>
      </c>
      <c r="I327" s="27" t="s">
        <v>236</v>
      </c>
      <c r="J327" s="26">
        <v>43395</v>
      </c>
      <c r="K327" s="26">
        <v>43395</v>
      </c>
      <c r="L327" s="27">
        <f t="shared" si="32"/>
        <v>1</v>
      </c>
      <c r="M327" s="45">
        <v>842400</v>
      </c>
      <c r="N327" s="45">
        <v>2054699.9999999998</v>
      </c>
      <c r="O327" s="27">
        <v>150</v>
      </c>
      <c r="P327" s="46">
        <f t="shared" si="33"/>
        <v>0.59001314060446775</v>
      </c>
      <c r="Q327" s="27">
        <v>7</v>
      </c>
      <c r="R327" s="44">
        <f t="shared" si="30"/>
        <v>14382899.999999998</v>
      </c>
      <c r="S327" s="29">
        <v>0.02</v>
      </c>
      <c r="T327" s="44">
        <f t="shared" si="34"/>
        <v>14095241.999999998</v>
      </c>
      <c r="U327" s="44">
        <f t="shared" si="35"/>
        <v>8198441.9999999981</v>
      </c>
      <c r="V327" s="44"/>
    </row>
    <row r="328" spans="1:22" ht="14.5" x14ac:dyDescent="0.35">
      <c r="A328" s="47" t="str">
        <f t="shared" si="31"/>
        <v>SBY-ND-E1032-2018</v>
      </c>
      <c r="B328" s="26">
        <v>43262</v>
      </c>
      <c r="C328" s="42">
        <v>2018</v>
      </c>
      <c r="D328" s="27" t="s">
        <v>549</v>
      </c>
      <c r="E328" s="27" t="s">
        <v>41</v>
      </c>
      <c r="F328" s="42" t="str" cm="1">
        <f t="array" ref="F328">_xlfn.IFS(E328="Bandung","BDG",E328="Surabaya","SBY",E328="Jakarta","JKT")</f>
        <v>SBY</v>
      </c>
      <c r="G328" s="27" t="s">
        <v>53</v>
      </c>
      <c r="H328" s="27" t="s">
        <v>440</v>
      </c>
      <c r="I328" s="27" t="s">
        <v>35</v>
      </c>
      <c r="J328" s="26">
        <v>43440</v>
      </c>
      <c r="K328" s="26">
        <v>43263</v>
      </c>
      <c r="L328" s="27">
        <f t="shared" si="32"/>
        <v>1</v>
      </c>
      <c r="M328" s="45">
        <v>27600</v>
      </c>
      <c r="N328" s="45">
        <v>43200</v>
      </c>
      <c r="O328" s="27">
        <v>173</v>
      </c>
      <c r="P328" s="46">
        <f t="shared" si="33"/>
        <v>0.3611111111111111</v>
      </c>
      <c r="Q328" s="27">
        <v>9</v>
      </c>
      <c r="R328" s="44">
        <f t="shared" si="30"/>
        <v>388800</v>
      </c>
      <c r="S328" s="29">
        <v>0</v>
      </c>
      <c r="T328" s="44">
        <f t="shared" si="34"/>
        <v>388800</v>
      </c>
      <c r="U328" s="44">
        <f t="shared" si="35"/>
        <v>140400</v>
      </c>
      <c r="V328" s="44"/>
    </row>
    <row r="329" spans="1:22" ht="14.5" x14ac:dyDescent="0.35">
      <c r="A329" s="47" t="str">
        <f t="shared" si="31"/>
        <v>JKT-NP-E1028-2017</v>
      </c>
      <c r="B329" s="26">
        <v>42968</v>
      </c>
      <c r="C329" s="42">
        <v>2017</v>
      </c>
      <c r="D329" s="27" t="s">
        <v>417</v>
      </c>
      <c r="E329" s="27" t="s">
        <v>32</v>
      </c>
      <c r="F329" s="42" t="str" cm="1">
        <f t="array" ref="F329">_xlfn.IFS(E329="Bandung","BDG",E329="Surabaya","SBY",E329="Jakarta","JKT")</f>
        <v>JKT</v>
      </c>
      <c r="G329" s="27" t="s">
        <v>33</v>
      </c>
      <c r="H329" s="27" t="s">
        <v>247</v>
      </c>
      <c r="I329" s="27" t="s">
        <v>236</v>
      </c>
      <c r="J329" s="26" t="s">
        <v>1624</v>
      </c>
      <c r="K329" s="26">
        <v>42969</v>
      </c>
      <c r="L329" s="27">
        <f t="shared" si="32"/>
        <v>1</v>
      </c>
      <c r="M329" s="45">
        <v>842400</v>
      </c>
      <c r="N329" s="45">
        <v>2054699.9999999998</v>
      </c>
      <c r="O329" s="27">
        <v>143</v>
      </c>
      <c r="P329" s="46">
        <f t="shared" si="33"/>
        <v>0.59001314060446775</v>
      </c>
      <c r="Q329" s="27">
        <v>44</v>
      </c>
      <c r="R329" s="44">
        <f t="shared" si="30"/>
        <v>90406799.999999985</v>
      </c>
      <c r="S329" s="29">
        <v>0.08</v>
      </c>
      <c r="T329" s="44">
        <f t="shared" si="34"/>
        <v>83174255.999999985</v>
      </c>
      <c r="U329" s="44">
        <f t="shared" si="35"/>
        <v>46108655.999999985</v>
      </c>
      <c r="V329" s="44"/>
    </row>
    <row r="330" spans="1:22" ht="14.5" x14ac:dyDescent="0.35">
      <c r="A330" s="47" t="str">
        <f t="shared" si="31"/>
        <v>SBY-NP-E1038-2018</v>
      </c>
      <c r="B330" s="26">
        <v>43242</v>
      </c>
      <c r="C330" s="42">
        <v>2018</v>
      </c>
      <c r="D330" s="27" t="s">
        <v>543</v>
      </c>
      <c r="E330" s="27" t="s">
        <v>41</v>
      </c>
      <c r="F330" s="42" t="str" cm="1">
        <f t="array" ref="F330">_xlfn.IFS(E330="Bandung","BDG",E330="Surabaya","SBY",E330="Jakarta","JKT")</f>
        <v>SBY</v>
      </c>
      <c r="G330" s="27" t="s">
        <v>98</v>
      </c>
      <c r="H330" s="27" t="s">
        <v>154</v>
      </c>
      <c r="I330" s="27" t="s">
        <v>35</v>
      </c>
      <c r="J330" s="26">
        <v>43253</v>
      </c>
      <c r="K330" s="26">
        <v>43137</v>
      </c>
      <c r="L330" s="27">
        <f t="shared" si="32"/>
        <v>-105</v>
      </c>
      <c r="M330" s="45">
        <v>908850</v>
      </c>
      <c r="N330" s="45">
        <v>1514700</v>
      </c>
      <c r="O330" s="27">
        <v>89</v>
      </c>
      <c r="P330" s="46">
        <f t="shared" si="33"/>
        <v>0.39998019409784114</v>
      </c>
      <c r="Q330" s="27">
        <v>13</v>
      </c>
      <c r="R330" s="44">
        <f t="shared" si="30"/>
        <v>19691100</v>
      </c>
      <c r="S330" s="29">
        <v>0.04</v>
      </c>
      <c r="T330" s="44">
        <f t="shared" si="34"/>
        <v>18903456</v>
      </c>
      <c r="U330" s="44">
        <f t="shared" si="35"/>
        <v>7088406</v>
      </c>
      <c r="V330" s="44"/>
    </row>
    <row r="331" spans="1:22" ht="14.5" x14ac:dyDescent="0.35">
      <c r="A331" s="47" t="str">
        <f t="shared" si="31"/>
        <v>SBY-NP-E1038-2018</v>
      </c>
      <c r="B331" s="26">
        <v>43278</v>
      </c>
      <c r="C331" s="42">
        <v>2018</v>
      </c>
      <c r="D331" s="27" t="s">
        <v>543</v>
      </c>
      <c r="E331" s="27" t="s">
        <v>41</v>
      </c>
      <c r="F331" s="42" t="str" cm="1">
        <f t="array" ref="F331">_xlfn.IFS(E331="Bandung","BDG",E331="Surabaya","SBY",E331="Jakarta","JKT")</f>
        <v>SBY</v>
      </c>
      <c r="G331" s="27" t="s">
        <v>98</v>
      </c>
      <c r="H331" s="27" t="s">
        <v>244</v>
      </c>
      <c r="I331" s="27" t="s">
        <v>35</v>
      </c>
      <c r="J331" s="26">
        <v>43280</v>
      </c>
      <c r="K331" s="26">
        <v>43280</v>
      </c>
      <c r="L331" s="27">
        <f t="shared" si="32"/>
        <v>2</v>
      </c>
      <c r="M331" s="45">
        <v>32700.000000000004</v>
      </c>
      <c r="N331" s="45">
        <v>52800</v>
      </c>
      <c r="O331" s="27">
        <v>154</v>
      </c>
      <c r="P331" s="46">
        <f t="shared" si="33"/>
        <v>0.38068181818181812</v>
      </c>
      <c r="Q331" s="27">
        <v>49</v>
      </c>
      <c r="R331" s="44">
        <f t="shared" si="30"/>
        <v>2587200</v>
      </c>
      <c r="S331" s="29">
        <v>0.08</v>
      </c>
      <c r="T331" s="44">
        <f t="shared" si="34"/>
        <v>2380224</v>
      </c>
      <c r="U331" s="44">
        <f t="shared" si="35"/>
        <v>777923.99999999977</v>
      </c>
      <c r="V331" s="44"/>
    </row>
    <row r="332" spans="1:22" ht="14.5" x14ac:dyDescent="0.35">
      <c r="A332" s="47" t="str">
        <f t="shared" si="31"/>
        <v>JKT-NW-E1028-2016</v>
      </c>
      <c r="B332" s="26">
        <v>42595</v>
      </c>
      <c r="C332" s="42">
        <v>2016</v>
      </c>
      <c r="D332" s="27" t="s">
        <v>106</v>
      </c>
      <c r="E332" s="27" t="s">
        <v>32</v>
      </c>
      <c r="F332" s="42" t="str" cm="1">
        <f t="array" ref="F332">_xlfn.IFS(E332="Bandung","BDG",E332="Surabaya","SBY",E332="Jakarta","JKT")</f>
        <v>JKT</v>
      </c>
      <c r="G332" s="27" t="s">
        <v>33</v>
      </c>
      <c r="H332" s="27" t="s">
        <v>107</v>
      </c>
      <c r="I332" s="27" t="s">
        <v>73</v>
      </c>
      <c r="J332" s="26">
        <v>42597</v>
      </c>
      <c r="K332" s="26">
        <v>42597</v>
      </c>
      <c r="L332" s="27">
        <f t="shared" si="32"/>
        <v>2</v>
      </c>
      <c r="M332" s="45">
        <v>71850</v>
      </c>
      <c r="N332" s="45">
        <v>179550</v>
      </c>
      <c r="O332" s="27">
        <v>295</v>
      </c>
      <c r="P332" s="46">
        <f t="shared" si="33"/>
        <v>0.59983291562238927</v>
      </c>
      <c r="Q332" s="27">
        <v>7</v>
      </c>
      <c r="R332" s="44">
        <f t="shared" si="30"/>
        <v>1256850</v>
      </c>
      <c r="S332" s="29">
        <v>0.05</v>
      </c>
      <c r="T332" s="44">
        <f t="shared" si="34"/>
        <v>1194007.5</v>
      </c>
      <c r="U332" s="44">
        <f t="shared" si="35"/>
        <v>691057.5</v>
      </c>
      <c r="V332" s="44"/>
    </row>
    <row r="333" spans="1:22" ht="14.5" x14ac:dyDescent="0.35">
      <c r="A333" s="47" t="str">
        <f t="shared" si="31"/>
        <v>JKT-NW-E1028-2017</v>
      </c>
      <c r="B333" s="26">
        <v>43019</v>
      </c>
      <c r="C333" s="42">
        <v>2017</v>
      </c>
      <c r="D333" s="27" t="s">
        <v>106</v>
      </c>
      <c r="E333" s="27" t="s">
        <v>32</v>
      </c>
      <c r="F333" s="42" t="str" cm="1">
        <f t="array" ref="F333">_xlfn.IFS(E333="Bandung","BDG",E333="Surabaya","SBY",E333="Jakarta","JKT")</f>
        <v>JKT</v>
      </c>
      <c r="G333" s="27" t="s">
        <v>33</v>
      </c>
      <c r="H333" s="27" t="s">
        <v>445</v>
      </c>
      <c r="I333" s="27" t="s">
        <v>35</v>
      </c>
      <c r="J333" s="26">
        <v>43079</v>
      </c>
      <c r="K333" s="26">
        <v>43020</v>
      </c>
      <c r="L333" s="27">
        <f t="shared" si="32"/>
        <v>1</v>
      </c>
      <c r="M333" s="45">
        <v>220500</v>
      </c>
      <c r="N333" s="45">
        <v>449850</v>
      </c>
      <c r="O333" s="27">
        <v>129</v>
      </c>
      <c r="P333" s="46">
        <f t="shared" si="33"/>
        <v>0.50983661220406806</v>
      </c>
      <c r="Q333" s="27">
        <v>20</v>
      </c>
      <c r="R333" s="44">
        <f t="shared" si="30"/>
        <v>8997000</v>
      </c>
      <c r="S333" s="29">
        <v>0</v>
      </c>
      <c r="T333" s="44">
        <f t="shared" si="34"/>
        <v>8997000</v>
      </c>
      <c r="U333" s="44">
        <f t="shared" si="35"/>
        <v>4587000</v>
      </c>
      <c r="V333" s="44"/>
    </row>
    <row r="334" spans="1:22" ht="14.5" x14ac:dyDescent="0.35">
      <c r="A334" s="47" t="str">
        <f t="shared" si="31"/>
        <v>JKT-NW-E1028-2019</v>
      </c>
      <c r="B334" s="26">
        <v>43505</v>
      </c>
      <c r="C334" s="42">
        <v>2019</v>
      </c>
      <c r="D334" s="27" t="s">
        <v>106</v>
      </c>
      <c r="E334" s="27" t="s">
        <v>32</v>
      </c>
      <c r="F334" s="42" t="str" cm="1">
        <f t="array" ref="F334">_xlfn.IFS(E334="Bandung","BDG",E334="Surabaya","SBY",E334="Jakarta","JKT")</f>
        <v>JKT</v>
      </c>
      <c r="G334" s="27" t="s">
        <v>33</v>
      </c>
      <c r="H334" s="27" t="s">
        <v>187</v>
      </c>
      <c r="I334" s="27" t="s">
        <v>120</v>
      </c>
      <c r="J334" s="26">
        <v>43771</v>
      </c>
      <c r="K334" s="26">
        <v>43507</v>
      </c>
      <c r="L334" s="27">
        <f t="shared" si="32"/>
        <v>2</v>
      </c>
      <c r="M334" s="45">
        <v>118800</v>
      </c>
      <c r="N334" s="45">
        <v>194850</v>
      </c>
      <c r="O334" s="27">
        <v>95</v>
      </c>
      <c r="P334" s="46">
        <f t="shared" si="33"/>
        <v>0.39030023094688221</v>
      </c>
      <c r="Q334" s="27">
        <v>46</v>
      </c>
      <c r="R334" s="44">
        <f t="shared" si="30"/>
        <v>8963100</v>
      </c>
      <c r="S334" s="29">
        <v>0.01</v>
      </c>
      <c r="T334" s="44">
        <f t="shared" si="34"/>
        <v>8873469</v>
      </c>
      <c r="U334" s="44">
        <f t="shared" si="35"/>
        <v>3408669</v>
      </c>
      <c r="V334" s="44"/>
    </row>
    <row r="335" spans="1:22" ht="14.5" x14ac:dyDescent="0.35">
      <c r="A335" s="47" t="str">
        <f t="shared" si="31"/>
        <v>JKT-NS-E1029-2018</v>
      </c>
      <c r="B335" s="26">
        <v>43451</v>
      </c>
      <c r="C335" s="42">
        <v>2018</v>
      </c>
      <c r="D335" s="27" t="s">
        <v>624</v>
      </c>
      <c r="E335" s="27" t="s">
        <v>32</v>
      </c>
      <c r="F335" s="42" t="str" cm="1">
        <f t="array" ref="F335">_xlfn.IFS(E335="Bandung","BDG",E335="Surabaya","SBY",E335="Jakarta","JKT")</f>
        <v>JKT</v>
      </c>
      <c r="G335" s="27" t="s">
        <v>37</v>
      </c>
      <c r="H335" s="27" t="s">
        <v>45</v>
      </c>
      <c r="I335" s="27" t="s">
        <v>46</v>
      </c>
      <c r="J335" s="26" t="s">
        <v>1712</v>
      </c>
      <c r="K335" s="26">
        <v>43453</v>
      </c>
      <c r="L335" s="27">
        <f t="shared" si="32"/>
        <v>2</v>
      </c>
      <c r="M335" s="45">
        <v>1125000</v>
      </c>
      <c r="N335" s="45">
        <v>1814550</v>
      </c>
      <c r="O335" s="27">
        <v>161</v>
      </c>
      <c r="P335" s="46">
        <f t="shared" si="33"/>
        <v>0.38001157311730183</v>
      </c>
      <c r="Q335" s="27">
        <v>46</v>
      </c>
      <c r="R335" s="44">
        <f t="shared" si="30"/>
        <v>83469300</v>
      </c>
      <c r="S335" s="29">
        <v>7.0000000000000007E-2</v>
      </c>
      <c r="T335" s="44">
        <f t="shared" si="34"/>
        <v>77626449</v>
      </c>
      <c r="U335" s="44">
        <f t="shared" si="35"/>
        <v>25876449</v>
      </c>
      <c r="V335" s="44"/>
    </row>
    <row r="336" spans="1:22" ht="14.5" x14ac:dyDescent="0.35">
      <c r="A336" s="47" t="str">
        <f t="shared" si="31"/>
        <v>SBY-NH-E1036-2017</v>
      </c>
      <c r="B336" s="26">
        <v>42739</v>
      </c>
      <c r="C336" s="42">
        <v>2017</v>
      </c>
      <c r="D336" s="27" t="s">
        <v>273</v>
      </c>
      <c r="E336" s="27" t="s">
        <v>41</v>
      </c>
      <c r="F336" s="42" t="str" cm="1">
        <f t="array" ref="F336">_xlfn.IFS(E336="Bandung","BDG",E336="Surabaya","SBY",E336="Jakarta","JKT")</f>
        <v>SBY</v>
      </c>
      <c r="G336" s="27" t="s">
        <v>78</v>
      </c>
      <c r="H336" s="27" t="s">
        <v>89</v>
      </c>
      <c r="I336" s="27" t="s">
        <v>73</v>
      </c>
      <c r="J336" s="26">
        <v>42741</v>
      </c>
      <c r="K336" s="26">
        <v>42887</v>
      </c>
      <c r="L336" s="27">
        <f t="shared" si="32"/>
        <v>148</v>
      </c>
      <c r="M336" s="45">
        <v>14100</v>
      </c>
      <c r="N336" s="45">
        <v>31200</v>
      </c>
      <c r="O336" s="27">
        <v>191</v>
      </c>
      <c r="P336" s="46">
        <f t="shared" si="33"/>
        <v>0.54807692307692313</v>
      </c>
      <c r="Q336" s="27">
        <v>43</v>
      </c>
      <c r="R336" s="44">
        <f t="shared" si="30"/>
        <v>1341600</v>
      </c>
      <c r="S336" s="29">
        <v>0.05</v>
      </c>
      <c r="T336" s="44">
        <f t="shared" si="34"/>
        <v>1274520</v>
      </c>
      <c r="U336" s="44">
        <f t="shared" si="35"/>
        <v>668220</v>
      </c>
      <c r="V336" s="44"/>
    </row>
    <row r="337" spans="1:22" ht="14.5" x14ac:dyDescent="0.35">
      <c r="A337" s="47" t="str">
        <f t="shared" si="31"/>
        <v>SBY-NZ-E1034-2018</v>
      </c>
      <c r="B337" s="26">
        <v>43383</v>
      </c>
      <c r="C337" s="42">
        <v>2018</v>
      </c>
      <c r="D337" s="27" t="s">
        <v>600</v>
      </c>
      <c r="E337" s="27" t="s">
        <v>41</v>
      </c>
      <c r="F337" s="42" t="str" cm="1">
        <f t="array" ref="F337">_xlfn.IFS(E337="Bandung","BDG",E337="Surabaya","SBY",E337="Jakarta","JKT")</f>
        <v>SBY</v>
      </c>
      <c r="G337" s="27" t="s">
        <v>65</v>
      </c>
      <c r="H337" s="27" t="s">
        <v>211</v>
      </c>
      <c r="I337" s="27" t="s">
        <v>35</v>
      </c>
      <c r="J337" s="26">
        <v>43384</v>
      </c>
      <c r="K337" s="26">
        <v>43414</v>
      </c>
      <c r="L337" s="27">
        <f t="shared" si="32"/>
        <v>31</v>
      </c>
      <c r="M337" s="45">
        <v>97650</v>
      </c>
      <c r="N337" s="45">
        <v>464700</v>
      </c>
      <c r="O337" s="27">
        <v>160</v>
      </c>
      <c r="P337" s="46">
        <f t="shared" si="33"/>
        <v>0.78986442866365392</v>
      </c>
      <c r="Q337" s="27">
        <v>6</v>
      </c>
      <c r="R337" s="44">
        <f t="shared" si="30"/>
        <v>2788200</v>
      </c>
      <c r="S337" s="29">
        <v>0.01</v>
      </c>
      <c r="T337" s="44">
        <f t="shared" si="34"/>
        <v>2760318</v>
      </c>
      <c r="U337" s="44">
        <f t="shared" si="35"/>
        <v>2174418</v>
      </c>
      <c r="V337" s="44"/>
    </row>
    <row r="338" spans="1:22" ht="14.5" x14ac:dyDescent="0.35">
      <c r="A338" s="47" t="str">
        <f t="shared" si="31"/>
        <v>JKT-NU-E1028-2018</v>
      </c>
      <c r="B338" s="26">
        <v>43265</v>
      </c>
      <c r="C338" s="42">
        <v>2018</v>
      </c>
      <c r="D338" s="27" t="s">
        <v>553</v>
      </c>
      <c r="E338" s="27" t="s">
        <v>32</v>
      </c>
      <c r="F338" s="42" t="str" cm="1">
        <f t="array" ref="F338">_xlfn.IFS(E338="Bandung","BDG",E338="Surabaya","SBY",E338="Jakarta","JKT")</f>
        <v>JKT</v>
      </c>
      <c r="G338" s="27" t="s">
        <v>33</v>
      </c>
      <c r="H338" s="27" t="s">
        <v>79</v>
      </c>
      <c r="I338" s="27" t="s">
        <v>39</v>
      </c>
      <c r="J338" s="26" t="s">
        <v>1673</v>
      </c>
      <c r="K338" s="26">
        <v>43267</v>
      </c>
      <c r="L338" s="27">
        <f t="shared" si="32"/>
        <v>2</v>
      </c>
      <c r="M338" s="45">
        <v>19500</v>
      </c>
      <c r="N338" s="45">
        <v>43200</v>
      </c>
      <c r="O338" s="27">
        <v>195</v>
      </c>
      <c r="P338" s="46">
        <f t="shared" si="33"/>
        <v>0.54861111111111116</v>
      </c>
      <c r="Q338" s="27">
        <v>43</v>
      </c>
      <c r="R338" s="44">
        <f t="shared" si="30"/>
        <v>1857600</v>
      </c>
      <c r="S338" s="29">
        <v>0.1</v>
      </c>
      <c r="T338" s="44">
        <f t="shared" si="34"/>
        <v>1671840</v>
      </c>
      <c r="U338" s="44">
        <f t="shared" si="35"/>
        <v>833340</v>
      </c>
      <c r="V338" s="44"/>
    </row>
    <row r="339" spans="1:22" ht="14.5" x14ac:dyDescent="0.35">
      <c r="A339" s="47" t="str">
        <f t="shared" si="31"/>
        <v>JKT-NU-E1028-2019</v>
      </c>
      <c r="B339" s="26">
        <v>43683</v>
      </c>
      <c r="C339" s="42">
        <v>2019</v>
      </c>
      <c r="D339" s="27" t="s">
        <v>553</v>
      </c>
      <c r="E339" s="27" t="s">
        <v>32</v>
      </c>
      <c r="F339" s="42" t="str" cm="1">
        <f t="array" ref="F339">_xlfn.IFS(E339="Bandung","BDG",E339="Surabaya","SBY",E339="Jakarta","JKT")</f>
        <v>JKT</v>
      </c>
      <c r="G339" s="27" t="s">
        <v>33</v>
      </c>
      <c r="H339" s="27" t="s">
        <v>81</v>
      </c>
      <c r="I339" s="27" t="s">
        <v>39</v>
      </c>
      <c r="J339" s="26">
        <v>43654</v>
      </c>
      <c r="K339" s="26">
        <v>43684</v>
      </c>
      <c r="L339" s="27">
        <f t="shared" si="32"/>
        <v>1</v>
      </c>
      <c r="M339" s="45">
        <v>27300</v>
      </c>
      <c r="N339" s="45">
        <v>44700</v>
      </c>
      <c r="O339" s="27">
        <v>102</v>
      </c>
      <c r="P339" s="46">
        <f t="shared" si="33"/>
        <v>0.38926174496644295</v>
      </c>
      <c r="Q339" s="27">
        <v>32</v>
      </c>
      <c r="R339" s="44">
        <f t="shared" si="30"/>
        <v>1430400</v>
      </c>
      <c r="S339" s="29">
        <v>0.01</v>
      </c>
      <c r="T339" s="44">
        <f t="shared" si="34"/>
        <v>1416096</v>
      </c>
      <c r="U339" s="44">
        <f t="shared" si="35"/>
        <v>542496</v>
      </c>
      <c r="V339" s="44"/>
    </row>
    <row r="340" spans="1:22" ht="14.5" x14ac:dyDescent="0.35">
      <c r="A340" s="47" t="str">
        <f t="shared" si="31"/>
        <v>BDG-NN-E1033-2018</v>
      </c>
      <c r="B340" s="26">
        <v>43298</v>
      </c>
      <c r="C340" s="42">
        <v>2018</v>
      </c>
      <c r="D340" s="27" t="s">
        <v>566</v>
      </c>
      <c r="E340" s="27" t="s">
        <v>136</v>
      </c>
      <c r="F340" s="42" t="str" cm="1">
        <f t="array" ref="F340">_xlfn.IFS(E340="Bandung","BDG",E340="Surabaya","SBY",E340="Jakarta","JKT")</f>
        <v>BDG</v>
      </c>
      <c r="G340" s="27" t="s">
        <v>60</v>
      </c>
      <c r="H340" s="27" t="s">
        <v>45</v>
      </c>
      <c r="I340" s="27" t="s">
        <v>46</v>
      </c>
      <c r="J340" s="26">
        <v>43299</v>
      </c>
      <c r="K340" s="26">
        <v>43299</v>
      </c>
      <c r="L340" s="27">
        <f t="shared" si="32"/>
        <v>1</v>
      </c>
      <c r="M340" s="45">
        <v>1125000</v>
      </c>
      <c r="N340" s="45">
        <v>1814550</v>
      </c>
      <c r="O340" s="27">
        <v>115</v>
      </c>
      <c r="P340" s="46">
        <f t="shared" si="33"/>
        <v>0.38001157311730183</v>
      </c>
      <c r="Q340" s="27">
        <v>38</v>
      </c>
      <c r="R340" s="44">
        <f t="shared" si="30"/>
        <v>68952900</v>
      </c>
      <c r="S340" s="29">
        <v>0.09</v>
      </c>
      <c r="T340" s="44">
        <f t="shared" si="34"/>
        <v>62747139</v>
      </c>
      <c r="U340" s="44">
        <f t="shared" si="35"/>
        <v>19997139</v>
      </c>
      <c r="V340" s="44"/>
    </row>
    <row r="341" spans="1:22" ht="14.5" x14ac:dyDescent="0.35">
      <c r="A341" s="47" t="str">
        <f t="shared" si="31"/>
        <v>BDG-NN-E1033-2020</v>
      </c>
      <c r="B341" s="26">
        <v>43876</v>
      </c>
      <c r="C341" s="42">
        <v>2020</v>
      </c>
      <c r="D341" s="27" t="s">
        <v>566</v>
      </c>
      <c r="E341" s="27" t="s">
        <v>136</v>
      </c>
      <c r="F341" s="42" t="str" cm="1">
        <f t="array" ref="F341">_xlfn.IFS(E341="Bandung","BDG",E341="Surabaya","SBY",E341="Jakarta","JKT")</f>
        <v>BDG</v>
      </c>
      <c r="G341" s="27" t="s">
        <v>60</v>
      </c>
      <c r="H341" s="27" t="s">
        <v>298</v>
      </c>
      <c r="I341" s="27" t="s">
        <v>73</v>
      </c>
      <c r="J341" s="26">
        <v>43878</v>
      </c>
      <c r="K341" s="26">
        <v>43878</v>
      </c>
      <c r="L341" s="27">
        <f t="shared" si="32"/>
        <v>2</v>
      </c>
      <c r="M341" s="45">
        <v>252000</v>
      </c>
      <c r="N341" s="45">
        <v>614550</v>
      </c>
      <c r="O341" s="27">
        <v>246</v>
      </c>
      <c r="P341" s="46">
        <f t="shared" si="33"/>
        <v>0.58994386136197219</v>
      </c>
      <c r="Q341" s="27">
        <v>26</v>
      </c>
      <c r="R341" s="44">
        <f t="shared" si="30"/>
        <v>15978300</v>
      </c>
      <c r="S341" s="29">
        <v>0.06</v>
      </c>
      <c r="T341" s="44">
        <f t="shared" si="34"/>
        <v>15019602</v>
      </c>
      <c r="U341" s="44">
        <f t="shared" si="35"/>
        <v>8467602</v>
      </c>
      <c r="V341" s="44"/>
    </row>
    <row r="342" spans="1:22" ht="14.5" x14ac:dyDescent="0.35">
      <c r="A342" s="47" t="str">
        <f t="shared" si="31"/>
        <v>SBY-NP-E1040-2017</v>
      </c>
      <c r="B342" s="26">
        <v>42843</v>
      </c>
      <c r="C342" s="42">
        <v>2017</v>
      </c>
      <c r="D342" s="27" t="s">
        <v>340</v>
      </c>
      <c r="E342" s="27" t="s">
        <v>41</v>
      </c>
      <c r="F342" s="42" t="str" cm="1">
        <f t="array" ref="F342">_xlfn.IFS(E342="Bandung","BDG",E342="Surabaya","SBY",E342="Jakarta","JKT")</f>
        <v>SBY</v>
      </c>
      <c r="G342" s="27" t="s">
        <v>160</v>
      </c>
      <c r="H342" s="27" t="s">
        <v>277</v>
      </c>
      <c r="I342" s="27" t="s">
        <v>35</v>
      </c>
      <c r="J342" s="26">
        <v>42844</v>
      </c>
      <c r="K342" s="26">
        <v>42844</v>
      </c>
      <c r="L342" s="27">
        <f t="shared" si="32"/>
        <v>1</v>
      </c>
      <c r="M342" s="45">
        <v>332700</v>
      </c>
      <c r="N342" s="45">
        <v>811500</v>
      </c>
      <c r="O342" s="27">
        <v>66</v>
      </c>
      <c r="P342" s="46">
        <f t="shared" si="33"/>
        <v>0.59001848428835491</v>
      </c>
      <c r="Q342" s="27">
        <v>42</v>
      </c>
      <c r="R342" s="44">
        <f t="shared" si="30"/>
        <v>34083000</v>
      </c>
      <c r="S342" s="29">
        <v>0.02</v>
      </c>
      <c r="T342" s="44">
        <f t="shared" si="34"/>
        <v>33401340</v>
      </c>
      <c r="U342" s="44">
        <f t="shared" si="35"/>
        <v>19427940</v>
      </c>
      <c r="V342" s="44"/>
    </row>
    <row r="343" spans="1:22" ht="14.5" x14ac:dyDescent="0.35">
      <c r="A343" s="47" t="str">
        <f t="shared" si="31"/>
        <v>SBY-NP-E1040-2017</v>
      </c>
      <c r="B343" s="26">
        <v>42843</v>
      </c>
      <c r="C343" s="42">
        <v>2017</v>
      </c>
      <c r="D343" s="27" t="s">
        <v>340</v>
      </c>
      <c r="E343" s="27" t="s">
        <v>41</v>
      </c>
      <c r="F343" s="42" t="str" cm="1">
        <f t="array" ref="F343">_xlfn.IFS(E343="Bandung","BDG",E343="Surabaya","SBY",E343="Jakarta","JKT")</f>
        <v>SBY</v>
      </c>
      <c r="G343" s="27" t="s">
        <v>160</v>
      </c>
      <c r="H343" s="27" t="s">
        <v>34</v>
      </c>
      <c r="I343" s="27" t="s">
        <v>35</v>
      </c>
      <c r="J343" s="26" t="s">
        <v>1603</v>
      </c>
      <c r="K343" s="26">
        <v>42845</v>
      </c>
      <c r="L343" s="27">
        <f t="shared" si="32"/>
        <v>2</v>
      </c>
      <c r="M343" s="45">
        <v>52800</v>
      </c>
      <c r="N343" s="45">
        <v>83700</v>
      </c>
      <c r="O343" s="27">
        <v>62</v>
      </c>
      <c r="P343" s="46">
        <f t="shared" si="33"/>
        <v>0.36917562724014336</v>
      </c>
      <c r="Q343" s="27">
        <v>49</v>
      </c>
      <c r="R343" s="44">
        <f t="shared" si="30"/>
        <v>4101300</v>
      </c>
      <c r="S343" s="29">
        <v>0.02</v>
      </c>
      <c r="T343" s="44">
        <f t="shared" si="34"/>
        <v>4019274</v>
      </c>
      <c r="U343" s="44">
        <f t="shared" si="35"/>
        <v>1432074</v>
      </c>
      <c r="V343" s="44"/>
    </row>
    <row r="344" spans="1:22" ht="14.5" x14ac:dyDescent="0.35">
      <c r="A344" s="47" t="str">
        <f t="shared" si="31"/>
        <v>SBY-NP-E1040-2018</v>
      </c>
      <c r="B344" s="26">
        <v>43224</v>
      </c>
      <c r="C344" s="42">
        <v>2018</v>
      </c>
      <c r="D344" s="27" t="s">
        <v>340</v>
      </c>
      <c r="E344" s="27" t="s">
        <v>41</v>
      </c>
      <c r="F344" s="42" t="str" cm="1">
        <f t="array" ref="F344">_xlfn.IFS(E344="Bandung","BDG",E344="Surabaya","SBY",E344="Jakarta","JKT")</f>
        <v>SBY</v>
      </c>
      <c r="G344" s="27" t="s">
        <v>160</v>
      </c>
      <c r="H344" s="27" t="s">
        <v>496</v>
      </c>
      <c r="I344" s="27" t="s">
        <v>39</v>
      </c>
      <c r="J344" s="26">
        <v>43225</v>
      </c>
      <c r="K344" s="26">
        <v>43225</v>
      </c>
      <c r="L344" s="27">
        <f t="shared" si="32"/>
        <v>1</v>
      </c>
      <c r="M344" s="45">
        <v>67200</v>
      </c>
      <c r="N344" s="45">
        <v>122100.00000000001</v>
      </c>
      <c r="O344" s="27">
        <v>23</v>
      </c>
      <c r="P344" s="46">
        <f t="shared" si="33"/>
        <v>0.44963144963144969</v>
      </c>
      <c r="Q344" s="27">
        <v>23</v>
      </c>
      <c r="R344" s="44">
        <f t="shared" si="30"/>
        <v>2808300.0000000005</v>
      </c>
      <c r="S344" s="29">
        <v>7.0000000000000007E-2</v>
      </c>
      <c r="T344" s="44">
        <f t="shared" si="34"/>
        <v>2611719.0000000005</v>
      </c>
      <c r="U344" s="44">
        <f t="shared" si="35"/>
        <v>1066119.0000000005</v>
      </c>
      <c r="V344" s="44"/>
    </row>
    <row r="345" spans="1:22" ht="14.5" x14ac:dyDescent="0.35">
      <c r="A345" s="47" t="str">
        <f t="shared" si="31"/>
        <v>SBY-NP-E1040-2018</v>
      </c>
      <c r="B345" s="26">
        <v>43224</v>
      </c>
      <c r="C345" s="42">
        <v>2018</v>
      </c>
      <c r="D345" s="27" t="s">
        <v>340</v>
      </c>
      <c r="E345" s="27" t="s">
        <v>41</v>
      </c>
      <c r="F345" s="42" t="str" cm="1">
        <f t="array" ref="F345">_xlfn.IFS(E345="Bandung","BDG",E345="Surabaya","SBY",E345="Jakarta","JKT")</f>
        <v>SBY</v>
      </c>
      <c r="G345" s="27" t="s">
        <v>160</v>
      </c>
      <c r="H345" s="27" t="s">
        <v>138</v>
      </c>
      <c r="I345" s="27" t="s">
        <v>35</v>
      </c>
      <c r="J345" s="26">
        <v>43225</v>
      </c>
      <c r="K345" s="26">
        <v>43225</v>
      </c>
      <c r="L345" s="27">
        <f t="shared" si="32"/>
        <v>1</v>
      </c>
      <c r="M345" s="45">
        <v>17700</v>
      </c>
      <c r="N345" s="45">
        <v>28200</v>
      </c>
      <c r="O345" s="27">
        <v>247</v>
      </c>
      <c r="P345" s="46">
        <f t="shared" si="33"/>
        <v>0.37234042553191488</v>
      </c>
      <c r="Q345" s="27">
        <v>33</v>
      </c>
      <c r="R345" s="44">
        <f t="shared" si="30"/>
        <v>930600</v>
      </c>
      <c r="S345" s="29">
        <v>0.05</v>
      </c>
      <c r="T345" s="44">
        <f t="shared" si="34"/>
        <v>884070</v>
      </c>
      <c r="U345" s="44">
        <f t="shared" si="35"/>
        <v>299970</v>
      </c>
      <c r="V345" s="44"/>
    </row>
    <row r="346" spans="1:22" ht="14.5" x14ac:dyDescent="0.35">
      <c r="A346" s="47" t="str">
        <f t="shared" si="31"/>
        <v>SBY-NP-E1040-2020</v>
      </c>
      <c r="B346" s="26">
        <v>43891</v>
      </c>
      <c r="C346" s="42">
        <v>2020</v>
      </c>
      <c r="D346" s="27" t="s">
        <v>340</v>
      </c>
      <c r="E346" s="27" t="s">
        <v>41</v>
      </c>
      <c r="F346" s="42" t="str" cm="1">
        <f t="array" ref="F346">_xlfn.IFS(E346="Bandung","BDG",E346="Surabaya","SBY",E346="Jakarta","JKT")</f>
        <v>SBY</v>
      </c>
      <c r="G346" s="27" t="s">
        <v>160</v>
      </c>
      <c r="H346" s="27" t="s">
        <v>295</v>
      </c>
      <c r="I346" s="27" t="s">
        <v>35</v>
      </c>
      <c r="J346" s="26">
        <v>43893</v>
      </c>
      <c r="K346" s="26">
        <v>43893</v>
      </c>
      <c r="L346" s="27">
        <f t="shared" si="32"/>
        <v>2</v>
      </c>
      <c r="M346" s="45">
        <v>165600</v>
      </c>
      <c r="N346" s="45">
        <v>254700</v>
      </c>
      <c r="O346" s="27">
        <v>105</v>
      </c>
      <c r="P346" s="46">
        <f t="shared" si="33"/>
        <v>0.34982332155477031</v>
      </c>
      <c r="Q346" s="27">
        <v>46</v>
      </c>
      <c r="R346" s="44">
        <f t="shared" si="30"/>
        <v>11716200</v>
      </c>
      <c r="S346" s="29">
        <v>0.09</v>
      </c>
      <c r="T346" s="44">
        <f t="shared" si="34"/>
        <v>10661742</v>
      </c>
      <c r="U346" s="44">
        <f t="shared" si="35"/>
        <v>3044142</v>
      </c>
      <c r="V346" s="44"/>
    </row>
    <row r="347" spans="1:22" ht="14.5" x14ac:dyDescent="0.35">
      <c r="A347" s="47" t="str">
        <f t="shared" si="31"/>
        <v>SBY-NW-E1038-2017</v>
      </c>
      <c r="B347" s="26">
        <v>42751</v>
      </c>
      <c r="C347" s="42">
        <v>2017</v>
      </c>
      <c r="D347" s="27" t="s">
        <v>280</v>
      </c>
      <c r="E347" s="27" t="s">
        <v>41</v>
      </c>
      <c r="F347" s="42" t="str" cm="1">
        <f t="array" ref="F347">_xlfn.IFS(E347="Bandung","BDG",E347="Surabaya","SBY",E347="Jakarta","JKT")</f>
        <v>SBY</v>
      </c>
      <c r="G347" s="27" t="s">
        <v>98</v>
      </c>
      <c r="H347" s="27" t="s">
        <v>168</v>
      </c>
      <c r="I347" s="27" t="s">
        <v>35</v>
      </c>
      <c r="J347" s="26">
        <v>42752</v>
      </c>
      <c r="K347" s="26">
        <v>42752</v>
      </c>
      <c r="L347" s="27">
        <f t="shared" si="32"/>
        <v>1</v>
      </c>
      <c r="M347" s="45">
        <v>2682450</v>
      </c>
      <c r="N347" s="45">
        <v>6238200</v>
      </c>
      <c r="O347" s="27">
        <v>29</v>
      </c>
      <c r="P347" s="46">
        <f t="shared" si="33"/>
        <v>0.56999615273636628</v>
      </c>
      <c r="Q347" s="27">
        <v>2</v>
      </c>
      <c r="R347" s="44">
        <f t="shared" si="30"/>
        <v>12476400</v>
      </c>
      <c r="S347" s="29">
        <v>0.08</v>
      </c>
      <c r="T347" s="44">
        <f t="shared" si="34"/>
        <v>11478288</v>
      </c>
      <c r="U347" s="44">
        <f t="shared" si="35"/>
        <v>6113388</v>
      </c>
      <c r="V347" s="44"/>
    </row>
    <row r="348" spans="1:22" ht="14.5" x14ac:dyDescent="0.35">
      <c r="A348" s="47" t="str">
        <f t="shared" si="31"/>
        <v>SBY-NW-E1038-2017</v>
      </c>
      <c r="B348" s="26">
        <v>42936</v>
      </c>
      <c r="C348" s="42">
        <v>2017</v>
      </c>
      <c r="D348" s="27" t="s">
        <v>280</v>
      </c>
      <c r="E348" s="27" t="s">
        <v>41</v>
      </c>
      <c r="F348" s="42" t="str" cm="1">
        <f t="array" ref="F348">_xlfn.IFS(E348="Bandung","BDG",E348="Surabaya","SBY",E348="Jakarta","JKT")</f>
        <v>SBY</v>
      </c>
      <c r="G348" s="27" t="s">
        <v>98</v>
      </c>
      <c r="H348" s="27" t="s">
        <v>402</v>
      </c>
      <c r="I348" s="27" t="s">
        <v>46</v>
      </c>
      <c r="J348" s="26">
        <v>42936</v>
      </c>
      <c r="K348" s="26">
        <v>42936</v>
      </c>
      <c r="L348" s="27">
        <f t="shared" si="32"/>
        <v>0</v>
      </c>
      <c r="M348" s="45">
        <v>4734150</v>
      </c>
      <c r="N348" s="45">
        <v>7514550</v>
      </c>
      <c r="O348" s="27">
        <v>112</v>
      </c>
      <c r="P348" s="46">
        <f t="shared" si="33"/>
        <v>0.37000219574026388</v>
      </c>
      <c r="Q348" s="27">
        <v>31</v>
      </c>
      <c r="R348" s="44">
        <f t="shared" si="30"/>
        <v>232951050</v>
      </c>
      <c r="S348" s="29">
        <v>0.06</v>
      </c>
      <c r="T348" s="44">
        <f t="shared" si="34"/>
        <v>218973987</v>
      </c>
      <c r="U348" s="44">
        <f t="shared" si="35"/>
        <v>72215337</v>
      </c>
      <c r="V348" s="44"/>
    </row>
    <row r="349" spans="1:22" ht="14.5" x14ac:dyDescent="0.35">
      <c r="A349" s="47" t="str">
        <f t="shared" si="31"/>
        <v>JKT-NP-E1029-2019</v>
      </c>
      <c r="B349" s="26">
        <v>43708</v>
      </c>
      <c r="C349" s="42">
        <v>2019</v>
      </c>
      <c r="D349" s="27" t="s">
        <v>685</v>
      </c>
      <c r="E349" s="27" t="s">
        <v>32</v>
      </c>
      <c r="F349" s="42" t="str" cm="1">
        <f t="array" ref="F349">_xlfn.IFS(E349="Bandung","BDG",E349="Surabaya","SBY",E349="Jakarta","JKT")</f>
        <v>JKT</v>
      </c>
      <c r="G349" s="27" t="s">
        <v>37</v>
      </c>
      <c r="H349" s="27" t="s">
        <v>276</v>
      </c>
      <c r="I349" s="27" t="s">
        <v>35</v>
      </c>
      <c r="J349" s="26">
        <v>43710</v>
      </c>
      <c r="K349" s="26">
        <v>43505</v>
      </c>
      <c r="L349" s="27">
        <f t="shared" si="32"/>
        <v>-203</v>
      </c>
      <c r="M349" s="45">
        <v>224250</v>
      </c>
      <c r="N349" s="45">
        <v>521399.99999999994</v>
      </c>
      <c r="O349" s="27">
        <v>137</v>
      </c>
      <c r="P349" s="46">
        <f t="shared" si="33"/>
        <v>0.56990794016110469</v>
      </c>
      <c r="Q349" s="27">
        <v>8</v>
      </c>
      <c r="R349" s="44">
        <f t="shared" si="30"/>
        <v>4171199.9999999995</v>
      </c>
      <c r="S349" s="29">
        <v>0</v>
      </c>
      <c r="T349" s="44">
        <f t="shared" si="34"/>
        <v>4171199.9999999995</v>
      </c>
      <c r="U349" s="44">
        <f t="shared" si="35"/>
        <v>2377199.9999999995</v>
      </c>
      <c r="V349" s="44"/>
    </row>
    <row r="350" spans="1:22" ht="14.5" x14ac:dyDescent="0.35">
      <c r="A350" s="47" t="str">
        <f t="shared" si="31"/>
        <v>SBY-MT-E1030-2017</v>
      </c>
      <c r="B350" s="26">
        <v>43042</v>
      </c>
      <c r="C350" s="42">
        <v>2017</v>
      </c>
      <c r="D350" s="27" t="s">
        <v>457</v>
      </c>
      <c r="E350" s="27" t="s">
        <v>41</v>
      </c>
      <c r="F350" s="42" t="str" cm="1">
        <f t="array" ref="F350">_xlfn.IFS(E350="Bandung","BDG",E350="Surabaya","SBY",E350="Jakarta","JKT")</f>
        <v>SBY</v>
      </c>
      <c r="G350" s="27" t="s">
        <v>42</v>
      </c>
      <c r="H350" s="27" t="s">
        <v>185</v>
      </c>
      <c r="I350" s="27" t="s">
        <v>35</v>
      </c>
      <c r="J350" s="26">
        <v>43044</v>
      </c>
      <c r="K350" s="26">
        <v>42866</v>
      </c>
      <c r="L350" s="27">
        <f t="shared" si="32"/>
        <v>-176</v>
      </c>
      <c r="M350" s="45">
        <v>19950</v>
      </c>
      <c r="N350" s="45">
        <v>31200</v>
      </c>
      <c r="O350" s="27">
        <v>107</v>
      </c>
      <c r="P350" s="46">
        <f t="shared" si="33"/>
        <v>0.36057692307692307</v>
      </c>
      <c r="Q350" s="27">
        <v>20</v>
      </c>
      <c r="R350" s="44">
        <f t="shared" si="30"/>
        <v>624000</v>
      </c>
      <c r="S350" s="29">
        <v>0.04</v>
      </c>
      <c r="T350" s="44">
        <f t="shared" si="34"/>
        <v>599040</v>
      </c>
      <c r="U350" s="44">
        <f t="shared" si="35"/>
        <v>200040</v>
      </c>
      <c r="V350" s="44"/>
    </row>
    <row r="351" spans="1:22" ht="14.5" x14ac:dyDescent="0.35">
      <c r="A351" s="47" t="str">
        <f t="shared" si="31"/>
        <v>SBY-MY-E1034-2018</v>
      </c>
      <c r="B351" s="26">
        <v>43328</v>
      </c>
      <c r="C351" s="42">
        <v>2018</v>
      </c>
      <c r="D351" s="27" t="s">
        <v>581</v>
      </c>
      <c r="E351" s="27" t="s">
        <v>41</v>
      </c>
      <c r="F351" s="42" t="str" cm="1">
        <f t="array" ref="F351">_xlfn.IFS(E351="Bandung","BDG",E351="Surabaya","SBY",E351="Jakarta","JKT")</f>
        <v>SBY</v>
      </c>
      <c r="G351" s="27" t="s">
        <v>65</v>
      </c>
      <c r="H351" s="27" t="s">
        <v>410</v>
      </c>
      <c r="I351" s="27" t="s">
        <v>35</v>
      </c>
      <c r="J351" s="26">
        <v>43329</v>
      </c>
      <c r="K351" s="26">
        <v>43329</v>
      </c>
      <c r="L351" s="27">
        <f t="shared" si="32"/>
        <v>1</v>
      </c>
      <c r="M351" s="45">
        <v>1263300</v>
      </c>
      <c r="N351" s="45">
        <v>3158250</v>
      </c>
      <c r="O351" s="27">
        <v>22</v>
      </c>
      <c r="P351" s="46">
        <f t="shared" si="33"/>
        <v>0.6</v>
      </c>
      <c r="Q351" s="27">
        <v>18</v>
      </c>
      <c r="R351" s="44">
        <f t="shared" si="30"/>
        <v>56848500</v>
      </c>
      <c r="S351" s="29">
        <v>0.05</v>
      </c>
      <c r="T351" s="44">
        <f t="shared" si="34"/>
        <v>54006075</v>
      </c>
      <c r="U351" s="44">
        <f t="shared" si="35"/>
        <v>31266675</v>
      </c>
      <c r="V351" s="44"/>
    </row>
    <row r="352" spans="1:22" ht="14.5" x14ac:dyDescent="0.35">
      <c r="A352" s="47" t="str">
        <f t="shared" si="31"/>
        <v>SBY-MY-E1034-2020</v>
      </c>
      <c r="B352" s="26">
        <v>43913</v>
      </c>
      <c r="C352" s="42">
        <v>2020</v>
      </c>
      <c r="D352" s="27" t="s">
        <v>581</v>
      </c>
      <c r="E352" s="27" t="s">
        <v>41</v>
      </c>
      <c r="F352" s="42" t="str" cm="1">
        <f t="array" ref="F352">_xlfn.IFS(E352="Bandung","BDG",E352="Surabaya","SBY",E352="Jakarta","JKT")</f>
        <v>SBY</v>
      </c>
      <c r="G352" s="27" t="s">
        <v>65</v>
      </c>
      <c r="H352" s="27" t="s">
        <v>51</v>
      </c>
      <c r="I352" s="27" t="s">
        <v>39</v>
      </c>
      <c r="J352" s="26">
        <v>43914</v>
      </c>
      <c r="K352" s="26">
        <v>43914</v>
      </c>
      <c r="L352" s="27">
        <f t="shared" si="32"/>
        <v>1</v>
      </c>
      <c r="M352" s="45">
        <v>16350.000000000002</v>
      </c>
      <c r="N352" s="45">
        <v>39000</v>
      </c>
      <c r="O352" s="27">
        <v>210</v>
      </c>
      <c r="P352" s="46">
        <f t="shared" si="33"/>
        <v>0.58076923076923082</v>
      </c>
      <c r="Q352" s="27">
        <v>8</v>
      </c>
      <c r="R352" s="44">
        <f t="shared" si="30"/>
        <v>312000</v>
      </c>
      <c r="S352" s="29">
        <v>0.02</v>
      </c>
      <c r="T352" s="44">
        <f t="shared" si="34"/>
        <v>305760</v>
      </c>
      <c r="U352" s="44">
        <f t="shared" si="35"/>
        <v>174960</v>
      </c>
      <c r="V352" s="44"/>
    </row>
    <row r="353" spans="1:22" ht="14.5" x14ac:dyDescent="0.35">
      <c r="A353" s="47" t="str">
        <f t="shared" si="31"/>
        <v>SBY-MH-E1030-2018</v>
      </c>
      <c r="B353" s="26">
        <v>43165</v>
      </c>
      <c r="C353" s="42">
        <v>2018</v>
      </c>
      <c r="D353" s="27" t="s">
        <v>509</v>
      </c>
      <c r="E353" s="27" t="s">
        <v>41</v>
      </c>
      <c r="F353" s="42" t="str" cm="1">
        <f t="array" ref="F353">_xlfn.IFS(E353="Bandung","BDG",E353="Surabaya","SBY",E353="Jakarta","JKT")</f>
        <v>SBY</v>
      </c>
      <c r="G353" s="27" t="s">
        <v>42</v>
      </c>
      <c r="H353" s="27" t="s">
        <v>123</v>
      </c>
      <c r="I353" s="27" t="s">
        <v>35</v>
      </c>
      <c r="J353" s="26">
        <v>43165</v>
      </c>
      <c r="K353" s="26">
        <v>43254</v>
      </c>
      <c r="L353" s="27">
        <f t="shared" si="32"/>
        <v>89</v>
      </c>
      <c r="M353" s="45">
        <v>208200</v>
      </c>
      <c r="N353" s="45">
        <v>335700</v>
      </c>
      <c r="O353" s="27">
        <v>368</v>
      </c>
      <c r="P353" s="46">
        <f t="shared" si="33"/>
        <v>0.37980339588918677</v>
      </c>
      <c r="Q353" s="27">
        <v>10</v>
      </c>
      <c r="R353" s="44">
        <f t="shared" si="30"/>
        <v>3357000</v>
      </c>
      <c r="S353" s="29">
        <v>0.01</v>
      </c>
      <c r="T353" s="44">
        <f t="shared" si="34"/>
        <v>3323430</v>
      </c>
      <c r="U353" s="44">
        <f t="shared" si="35"/>
        <v>1241430</v>
      </c>
      <c r="V353" s="44"/>
    </row>
    <row r="354" spans="1:22" ht="14.5" x14ac:dyDescent="0.35">
      <c r="A354" s="47" t="str">
        <f t="shared" si="31"/>
        <v>SBY-MH-E1033-2017</v>
      </c>
      <c r="B354" s="26">
        <v>42785</v>
      </c>
      <c r="C354" s="42">
        <v>2017</v>
      </c>
      <c r="D354" s="27" t="s">
        <v>306</v>
      </c>
      <c r="E354" s="27" t="s">
        <v>41</v>
      </c>
      <c r="F354" s="42" t="str" cm="1">
        <f t="array" ref="F354">_xlfn.IFS(E354="Bandung","BDG",E354="Surabaya","SBY",E354="Jakarta","JKT")</f>
        <v>SBY</v>
      </c>
      <c r="G354" s="27" t="s">
        <v>60</v>
      </c>
      <c r="H354" s="27" t="s">
        <v>130</v>
      </c>
      <c r="I354" s="27" t="s">
        <v>39</v>
      </c>
      <c r="J354" s="26">
        <v>42786</v>
      </c>
      <c r="K354" s="26">
        <v>42786</v>
      </c>
      <c r="L354" s="27">
        <f t="shared" si="32"/>
        <v>1</v>
      </c>
      <c r="M354" s="45">
        <v>56250</v>
      </c>
      <c r="N354" s="45">
        <v>106200</v>
      </c>
      <c r="O354" s="27">
        <v>269</v>
      </c>
      <c r="P354" s="46">
        <f t="shared" si="33"/>
        <v>0.47033898305084748</v>
      </c>
      <c r="Q354" s="27">
        <v>29</v>
      </c>
      <c r="R354" s="44">
        <f t="shared" si="30"/>
        <v>3079800</v>
      </c>
      <c r="S354" s="29">
        <v>7.0000000000000007E-2</v>
      </c>
      <c r="T354" s="44">
        <f t="shared" si="34"/>
        <v>2864214</v>
      </c>
      <c r="U354" s="44">
        <f t="shared" si="35"/>
        <v>1232964</v>
      </c>
      <c r="V354" s="44"/>
    </row>
    <row r="355" spans="1:22" ht="14.5" x14ac:dyDescent="0.35">
      <c r="A355" s="47" t="str">
        <f t="shared" si="31"/>
        <v>SBY-MH-E1033-2017</v>
      </c>
      <c r="B355" s="26">
        <v>42875</v>
      </c>
      <c r="C355" s="42">
        <v>2017</v>
      </c>
      <c r="D355" s="27" t="s">
        <v>306</v>
      </c>
      <c r="E355" s="27" t="s">
        <v>41</v>
      </c>
      <c r="F355" s="42" t="str" cm="1">
        <f t="array" ref="F355">_xlfn.IFS(E355="Bandung","BDG",E355="Surabaya","SBY",E355="Jakarta","JKT")</f>
        <v>SBY</v>
      </c>
      <c r="G355" s="27" t="s">
        <v>60</v>
      </c>
      <c r="H355" s="27" t="s">
        <v>209</v>
      </c>
      <c r="I355" s="27" t="s">
        <v>46</v>
      </c>
      <c r="J355" s="26">
        <v>42876</v>
      </c>
      <c r="K355" s="26">
        <v>42876</v>
      </c>
      <c r="L355" s="27">
        <f t="shared" si="32"/>
        <v>1</v>
      </c>
      <c r="M355" s="45">
        <v>4184850</v>
      </c>
      <c r="N355" s="45">
        <v>6749850</v>
      </c>
      <c r="O355" s="27">
        <v>281</v>
      </c>
      <c r="P355" s="46">
        <f t="shared" si="33"/>
        <v>0.38000844463210293</v>
      </c>
      <c r="Q355" s="27">
        <v>39</v>
      </c>
      <c r="R355" s="44">
        <f t="shared" si="30"/>
        <v>263244150</v>
      </c>
      <c r="S355" s="29">
        <v>0.08</v>
      </c>
      <c r="T355" s="44">
        <f t="shared" si="34"/>
        <v>242184618</v>
      </c>
      <c r="U355" s="44">
        <f t="shared" si="35"/>
        <v>78975468</v>
      </c>
      <c r="V355" s="44"/>
    </row>
    <row r="356" spans="1:22" ht="14.5" x14ac:dyDescent="0.35">
      <c r="A356" s="47" t="str">
        <f t="shared" si="31"/>
        <v>SBY-MS-E1033-2019</v>
      </c>
      <c r="B356" s="26">
        <v>43685</v>
      </c>
      <c r="C356" s="42">
        <v>2019</v>
      </c>
      <c r="D356" s="27" t="s">
        <v>681</v>
      </c>
      <c r="E356" s="27" t="s">
        <v>41</v>
      </c>
      <c r="F356" s="42" t="str" cm="1">
        <f t="array" ref="F356">_xlfn.IFS(E356="Bandung","BDG",E356="Surabaya","SBY",E356="Jakarta","JKT")</f>
        <v>SBY</v>
      </c>
      <c r="G356" s="27" t="s">
        <v>60</v>
      </c>
      <c r="H356" s="27" t="s">
        <v>156</v>
      </c>
      <c r="I356" s="27" t="s">
        <v>39</v>
      </c>
      <c r="J356" s="26">
        <v>43687</v>
      </c>
      <c r="K356" s="26">
        <v>43746</v>
      </c>
      <c r="L356" s="27">
        <f t="shared" si="32"/>
        <v>61</v>
      </c>
      <c r="M356" s="45">
        <v>52200</v>
      </c>
      <c r="N356" s="45">
        <v>81450</v>
      </c>
      <c r="O356" s="27">
        <v>140</v>
      </c>
      <c r="P356" s="46">
        <f t="shared" si="33"/>
        <v>0.35911602209944754</v>
      </c>
      <c r="Q356" s="27">
        <v>37</v>
      </c>
      <c r="R356" s="44">
        <f t="shared" si="30"/>
        <v>3013650</v>
      </c>
      <c r="S356" s="29">
        <v>0.09</v>
      </c>
      <c r="T356" s="44">
        <f t="shared" si="34"/>
        <v>2742421.5</v>
      </c>
      <c r="U356" s="44">
        <f t="shared" si="35"/>
        <v>811021.5</v>
      </c>
      <c r="V356" s="44"/>
    </row>
    <row r="357" spans="1:22" ht="14.5" x14ac:dyDescent="0.35">
      <c r="A357" s="47" t="str">
        <f t="shared" si="31"/>
        <v>SBY-MN-E1037-2017</v>
      </c>
      <c r="B357" s="26">
        <v>42994</v>
      </c>
      <c r="C357" s="42">
        <v>2017</v>
      </c>
      <c r="D357" s="27" t="s">
        <v>428</v>
      </c>
      <c r="E357" s="27" t="s">
        <v>41</v>
      </c>
      <c r="F357" s="42" t="str" cm="1">
        <f t="array" ref="F357">_xlfn.IFS(E357="Bandung","BDG",E357="Surabaya","SBY",E357="Jakarta","JKT")</f>
        <v>SBY</v>
      </c>
      <c r="G357" s="27" t="s">
        <v>83</v>
      </c>
      <c r="H357" s="27" t="s">
        <v>144</v>
      </c>
      <c r="I357" s="27" t="s">
        <v>35</v>
      </c>
      <c r="J357" s="26" t="s">
        <v>1628</v>
      </c>
      <c r="K357" s="26">
        <v>42995</v>
      </c>
      <c r="L357" s="27">
        <f t="shared" si="32"/>
        <v>1</v>
      </c>
      <c r="M357" s="45">
        <v>2347500</v>
      </c>
      <c r="N357" s="45">
        <v>4514550</v>
      </c>
      <c r="O357" s="27">
        <v>110</v>
      </c>
      <c r="P357" s="46">
        <f t="shared" si="33"/>
        <v>0.48001461939728213</v>
      </c>
      <c r="Q357" s="27">
        <v>6</v>
      </c>
      <c r="R357" s="44">
        <f t="shared" si="30"/>
        <v>27087300</v>
      </c>
      <c r="S357" s="29">
        <v>0.04</v>
      </c>
      <c r="T357" s="44">
        <f t="shared" si="34"/>
        <v>26003808</v>
      </c>
      <c r="U357" s="44">
        <f t="shared" si="35"/>
        <v>11918808</v>
      </c>
      <c r="V357" s="44"/>
    </row>
    <row r="358" spans="1:22" ht="14.5" x14ac:dyDescent="0.35">
      <c r="A358" s="47" t="str">
        <f t="shared" si="31"/>
        <v>SBY-MO-E1030-2017</v>
      </c>
      <c r="B358" s="26">
        <v>42807</v>
      </c>
      <c r="C358" s="42">
        <v>2017</v>
      </c>
      <c r="D358" s="27" t="s">
        <v>322</v>
      </c>
      <c r="E358" s="27" t="s">
        <v>41</v>
      </c>
      <c r="F358" s="42" t="str" cm="1">
        <f t="array" ref="F358">_xlfn.IFS(E358="Bandung","BDG",E358="Surabaya","SBY",E358="Jakarta","JKT")</f>
        <v>SBY</v>
      </c>
      <c r="G358" s="27" t="s">
        <v>42</v>
      </c>
      <c r="H358" s="27" t="s">
        <v>223</v>
      </c>
      <c r="I358" s="27" t="s">
        <v>46</v>
      </c>
      <c r="J358" s="26">
        <v>42809</v>
      </c>
      <c r="K358" s="26">
        <v>42809</v>
      </c>
      <c r="L358" s="27">
        <f t="shared" si="32"/>
        <v>2</v>
      </c>
      <c r="M358" s="45">
        <v>1151850</v>
      </c>
      <c r="N358" s="45">
        <v>1799850</v>
      </c>
      <c r="O358" s="27">
        <v>36</v>
      </c>
      <c r="P358" s="46">
        <f t="shared" si="33"/>
        <v>0.36003000250020833</v>
      </c>
      <c r="Q358" s="27">
        <v>8</v>
      </c>
      <c r="R358" s="44">
        <f t="shared" si="30"/>
        <v>14398800</v>
      </c>
      <c r="S358" s="29">
        <v>0.09</v>
      </c>
      <c r="T358" s="44">
        <f t="shared" si="34"/>
        <v>13102908</v>
      </c>
      <c r="U358" s="44">
        <f t="shared" si="35"/>
        <v>3888108</v>
      </c>
      <c r="V358" s="44"/>
    </row>
    <row r="359" spans="1:22" ht="14.5" x14ac:dyDescent="0.35">
      <c r="A359" s="47" t="str">
        <f t="shared" si="31"/>
        <v>SBY-MO-E1030-2018</v>
      </c>
      <c r="B359" s="26">
        <v>43218</v>
      </c>
      <c r="C359" s="42">
        <v>2018</v>
      </c>
      <c r="D359" s="27" t="s">
        <v>322</v>
      </c>
      <c r="E359" s="27" t="s">
        <v>41</v>
      </c>
      <c r="F359" s="42" t="str" cm="1">
        <f t="array" ref="F359">_xlfn.IFS(E359="Bandung","BDG",E359="Surabaya","SBY",E359="Jakarta","JKT")</f>
        <v>SBY</v>
      </c>
      <c r="G359" s="27" t="s">
        <v>42</v>
      </c>
      <c r="H359" s="27" t="s">
        <v>123</v>
      </c>
      <c r="I359" s="27" t="s">
        <v>35</v>
      </c>
      <c r="J359" s="26">
        <v>43219</v>
      </c>
      <c r="K359" s="26">
        <v>43219</v>
      </c>
      <c r="L359" s="27">
        <f t="shared" si="32"/>
        <v>1</v>
      </c>
      <c r="M359" s="45">
        <v>208200</v>
      </c>
      <c r="N359" s="45">
        <v>335700</v>
      </c>
      <c r="O359" s="27">
        <v>358</v>
      </c>
      <c r="P359" s="46">
        <f t="shared" si="33"/>
        <v>0.37980339588918677</v>
      </c>
      <c r="Q359" s="27">
        <v>39</v>
      </c>
      <c r="R359" s="44">
        <f t="shared" si="30"/>
        <v>13092300</v>
      </c>
      <c r="S359" s="29">
        <v>7.0000000000000007E-2</v>
      </c>
      <c r="T359" s="44">
        <f t="shared" si="34"/>
        <v>12175839</v>
      </c>
      <c r="U359" s="44">
        <f t="shared" si="35"/>
        <v>4056039</v>
      </c>
      <c r="V359" s="44"/>
    </row>
    <row r="360" spans="1:22" ht="14.5" x14ac:dyDescent="0.35">
      <c r="A360" s="47" t="str">
        <f t="shared" si="31"/>
        <v>JKT-MH-E1029-2019</v>
      </c>
      <c r="B360" s="26">
        <v>43601</v>
      </c>
      <c r="C360" s="42">
        <v>2019</v>
      </c>
      <c r="D360" s="27" t="s">
        <v>655</v>
      </c>
      <c r="E360" s="27" t="s">
        <v>32</v>
      </c>
      <c r="F360" s="42" t="str" cm="1">
        <f t="array" ref="F360">_xlfn.IFS(E360="Bandung","BDG",E360="Surabaya","SBY",E360="Jakarta","JKT")</f>
        <v>JKT</v>
      </c>
      <c r="G360" s="27" t="s">
        <v>37</v>
      </c>
      <c r="H360" s="27" t="s">
        <v>490</v>
      </c>
      <c r="I360" s="27" t="s">
        <v>35</v>
      </c>
      <c r="J360" s="26" t="s">
        <v>1728</v>
      </c>
      <c r="K360" s="26">
        <v>43602</v>
      </c>
      <c r="L360" s="27">
        <f t="shared" si="32"/>
        <v>1</v>
      </c>
      <c r="M360" s="45">
        <v>17850</v>
      </c>
      <c r="N360" s="45">
        <v>29700</v>
      </c>
      <c r="O360" s="27">
        <v>40</v>
      </c>
      <c r="P360" s="46">
        <f t="shared" si="33"/>
        <v>0.39898989898989901</v>
      </c>
      <c r="Q360" s="27">
        <v>12</v>
      </c>
      <c r="R360" s="44">
        <f t="shared" si="30"/>
        <v>356400</v>
      </c>
      <c r="S360" s="29">
        <v>7.0000000000000007E-2</v>
      </c>
      <c r="T360" s="44">
        <f t="shared" si="34"/>
        <v>331452</v>
      </c>
      <c r="U360" s="44">
        <f t="shared" si="35"/>
        <v>117252</v>
      </c>
      <c r="V360" s="44"/>
    </row>
    <row r="361" spans="1:22" ht="14.5" x14ac:dyDescent="0.35">
      <c r="A361" s="47" t="str">
        <f t="shared" si="31"/>
        <v>SBY-MF-E1034-2018</v>
      </c>
      <c r="B361" s="26">
        <v>43307</v>
      </c>
      <c r="C361" s="42">
        <v>2018</v>
      </c>
      <c r="D361" s="27" t="s">
        <v>571</v>
      </c>
      <c r="E361" s="27" t="s">
        <v>41</v>
      </c>
      <c r="F361" s="42" t="str" cm="1">
        <f t="array" ref="F361">_xlfn.IFS(E361="Bandung","BDG",E361="Surabaya","SBY",E361="Jakarta","JKT")</f>
        <v>SBY</v>
      </c>
      <c r="G361" s="27" t="s">
        <v>65</v>
      </c>
      <c r="H361" s="27" t="s">
        <v>370</v>
      </c>
      <c r="I361" s="27" t="s">
        <v>39</v>
      </c>
      <c r="J361" s="26" t="s">
        <v>1681</v>
      </c>
      <c r="K361" s="26">
        <v>43308</v>
      </c>
      <c r="L361" s="27">
        <f t="shared" si="32"/>
        <v>1</v>
      </c>
      <c r="M361" s="45">
        <v>32400.000000000004</v>
      </c>
      <c r="N361" s="45">
        <v>57750</v>
      </c>
      <c r="O361" s="27">
        <v>85</v>
      </c>
      <c r="P361" s="46">
        <f t="shared" si="33"/>
        <v>0.43896103896103889</v>
      </c>
      <c r="Q361" s="27">
        <v>42</v>
      </c>
      <c r="R361" s="44">
        <f t="shared" si="30"/>
        <v>2425500</v>
      </c>
      <c r="S361" s="29">
        <v>0.01</v>
      </c>
      <c r="T361" s="44">
        <f t="shared" si="34"/>
        <v>2401245</v>
      </c>
      <c r="U361" s="44">
        <f t="shared" si="35"/>
        <v>1040444.9999999998</v>
      </c>
      <c r="V361" s="44"/>
    </row>
    <row r="362" spans="1:22" ht="14.5" x14ac:dyDescent="0.35">
      <c r="A362" s="47" t="str">
        <f t="shared" si="31"/>
        <v>JKT-MS-E1028-2016</v>
      </c>
      <c r="B362" s="26">
        <v>42682</v>
      </c>
      <c r="C362" s="42">
        <v>2016</v>
      </c>
      <c r="D362" s="27" t="s">
        <v>218</v>
      </c>
      <c r="E362" s="27" t="s">
        <v>32</v>
      </c>
      <c r="F362" s="42" t="str" cm="1">
        <f t="array" ref="F362">_xlfn.IFS(E362="Bandung","BDG",E362="Surabaya","SBY",E362="Jakarta","JKT")</f>
        <v>JKT</v>
      </c>
      <c r="G362" s="27" t="s">
        <v>33</v>
      </c>
      <c r="H362" s="27" t="s">
        <v>101</v>
      </c>
      <c r="I362" s="27" t="s">
        <v>35</v>
      </c>
      <c r="J362" s="26">
        <v>42684</v>
      </c>
      <c r="K362" s="26">
        <v>42654</v>
      </c>
      <c r="L362" s="27">
        <f t="shared" si="32"/>
        <v>-28</v>
      </c>
      <c r="M362" s="45">
        <v>594600</v>
      </c>
      <c r="N362" s="45">
        <v>2287200</v>
      </c>
      <c r="O362" s="27">
        <v>325</v>
      </c>
      <c r="P362" s="46">
        <f t="shared" si="33"/>
        <v>0.74003147953830006</v>
      </c>
      <c r="Q362" s="27">
        <v>31</v>
      </c>
      <c r="R362" s="44">
        <f t="shared" si="30"/>
        <v>70903200</v>
      </c>
      <c r="S362" s="29">
        <v>7.0000000000000007E-2</v>
      </c>
      <c r="T362" s="44">
        <f t="shared" si="34"/>
        <v>65939975.999999993</v>
      </c>
      <c r="U362" s="44">
        <f t="shared" si="35"/>
        <v>47507375.999999993</v>
      </c>
      <c r="V362" s="44"/>
    </row>
    <row r="363" spans="1:22" ht="14.5" x14ac:dyDescent="0.35">
      <c r="A363" s="47" t="str">
        <f t="shared" si="31"/>
        <v>JKT-MS-E1028-2017</v>
      </c>
      <c r="B363" s="26">
        <v>42933</v>
      </c>
      <c r="C363" s="42">
        <v>2017</v>
      </c>
      <c r="D363" s="27" t="s">
        <v>218</v>
      </c>
      <c r="E363" s="27" t="s">
        <v>32</v>
      </c>
      <c r="F363" s="42" t="str" cm="1">
        <f t="array" ref="F363">_xlfn.IFS(E363="Bandung","BDG",E363="Surabaya","SBY",E363="Jakarta","JKT")</f>
        <v>JKT</v>
      </c>
      <c r="G363" s="27" t="s">
        <v>33</v>
      </c>
      <c r="H363" s="27" t="s">
        <v>142</v>
      </c>
      <c r="I363" s="27" t="s">
        <v>35</v>
      </c>
      <c r="J363" s="26" t="s">
        <v>1615</v>
      </c>
      <c r="K363" s="26">
        <v>42934</v>
      </c>
      <c r="L363" s="27">
        <f t="shared" si="32"/>
        <v>1</v>
      </c>
      <c r="M363" s="45">
        <v>57600</v>
      </c>
      <c r="N363" s="45">
        <v>94500</v>
      </c>
      <c r="O363" s="27">
        <v>174</v>
      </c>
      <c r="P363" s="46">
        <f t="shared" si="33"/>
        <v>0.39047619047619048</v>
      </c>
      <c r="Q363" s="27">
        <v>18</v>
      </c>
      <c r="R363" s="44">
        <f t="shared" si="30"/>
        <v>1701000</v>
      </c>
      <c r="S363" s="29">
        <v>0.1</v>
      </c>
      <c r="T363" s="44">
        <f t="shared" si="34"/>
        <v>1530900</v>
      </c>
      <c r="U363" s="44">
        <f t="shared" si="35"/>
        <v>494100</v>
      </c>
      <c r="V363" s="44"/>
    </row>
    <row r="364" spans="1:22" ht="14.5" x14ac:dyDescent="0.35">
      <c r="A364" s="47" t="str">
        <f t="shared" si="31"/>
        <v>JKT-MS-E1028-2018</v>
      </c>
      <c r="B364" s="26">
        <v>43174</v>
      </c>
      <c r="C364" s="42">
        <v>2018</v>
      </c>
      <c r="D364" s="27" t="s">
        <v>218</v>
      </c>
      <c r="E364" s="27" t="s">
        <v>32</v>
      </c>
      <c r="F364" s="42" t="str" cm="1">
        <f t="array" ref="F364">_xlfn.IFS(E364="Bandung","BDG",E364="Surabaya","SBY",E364="Jakarta","JKT")</f>
        <v>JKT</v>
      </c>
      <c r="G364" s="27" t="s">
        <v>33</v>
      </c>
      <c r="H364" s="27" t="s">
        <v>298</v>
      </c>
      <c r="I364" s="27" t="s">
        <v>73</v>
      </c>
      <c r="J364" s="26">
        <v>43181</v>
      </c>
      <c r="K364" s="26">
        <v>43181</v>
      </c>
      <c r="L364" s="27">
        <f t="shared" si="32"/>
        <v>7</v>
      </c>
      <c r="M364" s="45">
        <v>252000</v>
      </c>
      <c r="N364" s="45">
        <v>614550</v>
      </c>
      <c r="O364" s="27">
        <v>220</v>
      </c>
      <c r="P364" s="46">
        <f t="shared" si="33"/>
        <v>0.58994386136197219</v>
      </c>
      <c r="Q364" s="27">
        <v>47</v>
      </c>
      <c r="R364" s="44">
        <f t="shared" si="30"/>
        <v>28883850</v>
      </c>
      <c r="S364" s="29">
        <v>0.04</v>
      </c>
      <c r="T364" s="44">
        <f t="shared" si="34"/>
        <v>27728496</v>
      </c>
      <c r="U364" s="44">
        <f t="shared" si="35"/>
        <v>15884496</v>
      </c>
      <c r="V364" s="44"/>
    </row>
    <row r="365" spans="1:22" ht="14.5" x14ac:dyDescent="0.35">
      <c r="A365" s="47" t="str">
        <f t="shared" si="31"/>
        <v>SBY-MP-E1034-2016</v>
      </c>
      <c r="B365" s="26">
        <v>42671</v>
      </c>
      <c r="C365" s="42">
        <v>2016</v>
      </c>
      <c r="D365" s="27" t="s">
        <v>203</v>
      </c>
      <c r="E365" s="27" t="s">
        <v>41</v>
      </c>
      <c r="F365" s="42" t="str" cm="1">
        <f t="array" ref="F365">_xlfn.IFS(E365="Bandung","BDG",E365="Surabaya","SBY",E365="Jakarta","JKT")</f>
        <v>SBY</v>
      </c>
      <c r="G365" s="27" t="s">
        <v>65</v>
      </c>
      <c r="H365" s="27" t="s">
        <v>204</v>
      </c>
      <c r="I365" s="27" t="s">
        <v>39</v>
      </c>
      <c r="J365" s="26" t="s">
        <v>1576</v>
      </c>
      <c r="K365" s="26">
        <v>42672</v>
      </c>
      <c r="L365" s="27">
        <f t="shared" si="32"/>
        <v>1</v>
      </c>
      <c r="M365" s="45">
        <v>3600</v>
      </c>
      <c r="N365" s="45">
        <v>18900</v>
      </c>
      <c r="O365" s="27">
        <v>326</v>
      </c>
      <c r="P365" s="46">
        <f t="shared" si="33"/>
        <v>0.80952380952380953</v>
      </c>
      <c r="Q365" s="27">
        <v>10</v>
      </c>
      <c r="R365" s="44">
        <f t="shared" si="30"/>
        <v>189000</v>
      </c>
      <c r="S365" s="29">
        <v>0.1</v>
      </c>
      <c r="T365" s="44">
        <f t="shared" si="34"/>
        <v>170100</v>
      </c>
      <c r="U365" s="44">
        <f t="shared" si="35"/>
        <v>134100</v>
      </c>
      <c r="V365" s="44"/>
    </row>
    <row r="366" spans="1:22" ht="14.5" x14ac:dyDescent="0.35">
      <c r="A366" s="47" t="str">
        <f t="shared" si="31"/>
        <v>SBY-MP-E1034-2020</v>
      </c>
      <c r="B366" s="26">
        <v>43874</v>
      </c>
      <c r="C366" s="42">
        <v>2020</v>
      </c>
      <c r="D366" s="27" t="s">
        <v>203</v>
      </c>
      <c r="E366" s="27" t="s">
        <v>41</v>
      </c>
      <c r="F366" s="42" t="str" cm="1">
        <f t="array" ref="F366">_xlfn.IFS(E366="Bandung","BDG",E366="Surabaya","SBY",E366="Jakarta","JKT")</f>
        <v>SBY</v>
      </c>
      <c r="G366" s="27" t="s">
        <v>65</v>
      </c>
      <c r="H366" s="27" t="s">
        <v>239</v>
      </c>
      <c r="I366" s="27" t="s">
        <v>35</v>
      </c>
      <c r="J366" s="26">
        <v>43877</v>
      </c>
      <c r="K366" s="26">
        <v>43877</v>
      </c>
      <c r="L366" s="27">
        <f t="shared" si="32"/>
        <v>3</v>
      </c>
      <c r="M366" s="45">
        <v>52500</v>
      </c>
      <c r="N366" s="45">
        <v>86100</v>
      </c>
      <c r="O366" s="27">
        <v>180</v>
      </c>
      <c r="P366" s="46">
        <f t="shared" si="33"/>
        <v>0.3902439024390244</v>
      </c>
      <c r="Q366" s="27">
        <v>48</v>
      </c>
      <c r="R366" s="44">
        <f t="shared" si="30"/>
        <v>4132800</v>
      </c>
      <c r="S366" s="29">
        <v>0.05</v>
      </c>
      <c r="T366" s="44">
        <f t="shared" si="34"/>
        <v>3926160</v>
      </c>
      <c r="U366" s="44">
        <f t="shared" si="35"/>
        <v>1406160</v>
      </c>
      <c r="V366" s="44"/>
    </row>
    <row r="367" spans="1:22" ht="14.5" x14ac:dyDescent="0.35">
      <c r="A367" s="47" t="str">
        <f t="shared" si="31"/>
        <v>SBY-MH-E1037-2019</v>
      </c>
      <c r="B367" s="26">
        <v>43695</v>
      </c>
      <c r="C367" s="42">
        <v>2019</v>
      </c>
      <c r="D367" s="27" t="s">
        <v>683</v>
      </c>
      <c r="E367" s="27" t="s">
        <v>41</v>
      </c>
      <c r="F367" s="42" t="str" cm="1">
        <f t="array" ref="F367">_xlfn.IFS(E367="Bandung","BDG",E367="Surabaya","SBY",E367="Jakarta","JKT")</f>
        <v>SBY</v>
      </c>
      <c r="G367" s="27" t="s">
        <v>83</v>
      </c>
      <c r="H367" s="27" t="s">
        <v>34</v>
      </c>
      <c r="I367" s="27" t="s">
        <v>35</v>
      </c>
      <c r="J367" s="26">
        <v>43697</v>
      </c>
      <c r="K367" s="26">
        <v>43697</v>
      </c>
      <c r="L367" s="27">
        <f t="shared" si="32"/>
        <v>2</v>
      </c>
      <c r="M367" s="45">
        <v>52800</v>
      </c>
      <c r="N367" s="45">
        <v>83700</v>
      </c>
      <c r="O367" s="27">
        <v>13</v>
      </c>
      <c r="P367" s="46">
        <f t="shared" si="33"/>
        <v>0.36917562724014336</v>
      </c>
      <c r="Q367" s="27">
        <v>13</v>
      </c>
      <c r="R367" s="44">
        <f t="shared" si="30"/>
        <v>1088100</v>
      </c>
      <c r="S367" s="29">
        <v>0.06</v>
      </c>
      <c r="T367" s="44">
        <f t="shared" si="34"/>
        <v>1022814</v>
      </c>
      <c r="U367" s="44">
        <f t="shared" si="35"/>
        <v>336414</v>
      </c>
      <c r="V367" s="44"/>
    </row>
    <row r="368" spans="1:22" ht="14.5" x14ac:dyDescent="0.35">
      <c r="A368" s="47" t="str">
        <f t="shared" si="31"/>
        <v>SBY-MH-E1037-2019</v>
      </c>
      <c r="B368" s="26">
        <v>43739</v>
      </c>
      <c r="C368" s="42">
        <v>2019</v>
      </c>
      <c r="D368" s="27" t="s">
        <v>683</v>
      </c>
      <c r="E368" s="27" t="s">
        <v>41</v>
      </c>
      <c r="F368" s="42" t="str" cm="1">
        <f t="array" ref="F368">_xlfn.IFS(E368="Bandung","BDG",E368="Surabaya","SBY",E368="Jakarta","JKT")</f>
        <v>SBY</v>
      </c>
      <c r="G368" s="27" t="s">
        <v>83</v>
      </c>
      <c r="H368" s="27" t="s">
        <v>84</v>
      </c>
      <c r="I368" s="27" t="s">
        <v>35</v>
      </c>
      <c r="J368" s="26">
        <v>43741</v>
      </c>
      <c r="K368" s="26">
        <v>43534</v>
      </c>
      <c r="L368" s="27">
        <f t="shared" si="32"/>
        <v>-205</v>
      </c>
      <c r="M368" s="45">
        <v>1223850</v>
      </c>
      <c r="N368" s="45">
        <v>2399850</v>
      </c>
      <c r="O368" s="27">
        <v>80</v>
      </c>
      <c r="P368" s="46">
        <f t="shared" si="33"/>
        <v>0.49003062691418214</v>
      </c>
      <c r="Q368" s="27">
        <v>31</v>
      </c>
      <c r="R368" s="44">
        <f t="shared" si="30"/>
        <v>74395350</v>
      </c>
      <c r="S368" s="29">
        <v>0.01</v>
      </c>
      <c r="T368" s="44">
        <f t="shared" si="34"/>
        <v>73651396.5</v>
      </c>
      <c r="U368" s="44">
        <f t="shared" si="35"/>
        <v>35712046.5</v>
      </c>
      <c r="V368" s="44"/>
    </row>
    <row r="369" spans="1:22" ht="14.5" x14ac:dyDescent="0.35">
      <c r="A369" s="47" t="str">
        <f t="shared" si="31"/>
        <v>SBY-MW-E1032-2017</v>
      </c>
      <c r="B369" s="26">
        <v>43013</v>
      </c>
      <c r="C369" s="42">
        <v>2017</v>
      </c>
      <c r="D369" s="27" t="s">
        <v>439</v>
      </c>
      <c r="E369" s="27" t="s">
        <v>41</v>
      </c>
      <c r="F369" s="42" t="str" cm="1">
        <f t="array" ref="F369">_xlfn.IFS(E369="Bandung","BDG",E369="Surabaya","SBY",E369="Jakarta","JKT")</f>
        <v>SBY</v>
      </c>
      <c r="G369" s="27" t="s">
        <v>53</v>
      </c>
      <c r="H369" s="27" t="s">
        <v>440</v>
      </c>
      <c r="I369" s="27" t="s">
        <v>35</v>
      </c>
      <c r="J369" s="26">
        <v>43013</v>
      </c>
      <c r="K369" s="26">
        <v>42865</v>
      </c>
      <c r="L369" s="27">
        <f t="shared" si="32"/>
        <v>-148</v>
      </c>
      <c r="M369" s="45">
        <v>27600</v>
      </c>
      <c r="N369" s="45">
        <v>43200</v>
      </c>
      <c r="O369" s="27">
        <v>164</v>
      </c>
      <c r="P369" s="46">
        <f t="shared" si="33"/>
        <v>0.3611111111111111</v>
      </c>
      <c r="Q369" s="27">
        <v>8</v>
      </c>
      <c r="R369" s="44">
        <f t="shared" si="30"/>
        <v>345600</v>
      </c>
      <c r="S369" s="29">
        <v>7.0000000000000007E-2</v>
      </c>
      <c r="T369" s="44">
        <f t="shared" si="34"/>
        <v>321408</v>
      </c>
      <c r="U369" s="44">
        <f t="shared" si="35"/>
        <v>100608</v>
      </c>
      <c r="V369" s="44"/>
    </row>
    <row r="370" spans="1:22" ht="14.5" x14ac:dyDescent="0.35">
      <c r="A370" s="47" t="str">
        <f t="shared" si="31"/>
        <v>SBY-MW-E1032-2018</v>
      </c>
      <c r="B370" s="26">
        <v>43341</v>
      </c>
      <c r="C370" s="42">
        <v>2018</v>
      </c>
      <c r="D370" s="27" t="s">
        <v>439</v>
      </c>
      <c r="E370" s="27" t="s">
        <v>41</v>
      </c>
      <c r="F370" s="42" t="str" cm="1">
        <f t="array" ref="F370">_xlfn.IFS(E370="Bandung","BDG",E370="Surabaya","SBY",E370="Jakarta","JKT")</f>
        <v>SBY</v>
      </c>
      <c r="G370" s="27" t="s">
        <v>53</v>
      </c>
      <c r="H370" s="27" t="s">
        <v>150</v>
      </c>
      <c r="I370" s="27" t="s">
        <v>35</v>
      </c>
      <c r="J370" s="26">
        <v>43109</v>
      </c>
      <c r="K370" s="26">
        <v>43344</v>
      </c>
      <c r="L370" s="27">
        <f t="shared" si="32"/>
        <v>3</v>
      </c>
      <c r="M370" s="45">
        <v>185850</v>
      </c>
      <c r="N370" s="45">
        <v>299700</v>
      </c>
      <c r="O370" s="27">
        <v>281</v>
      </c>
      <c r="P370" s="46">
        <f t="shared" si="33"/>
        <v>0.37987987987987987</v>
      </c>
      <c r="Q370" s="27">
        <v>33</v>
      </c>
      <c r="R370" s="44">
        <f t="shared" si="30"/>
        <v>9890100</v>
      </c>
      <c r="S370" s="29">
        <v>0.09</v>
      </c>
      <c r="T370" s="44">
        <f t="shared" si="34"/>
        <v>8999991</v>
      </c>
      <c r="U370" s="44">
        <f t="shared" si="35"/>
        <v>2866941</v>
      </c>
      <c r="V370" s="44"/>
    </row>
    <row r="371" spans="1:22" ht="14.5" x14ac:dyDescent="0.35">
      <c r="A371" s="47" t="str">
        <f t="shared" si="31"/>
        <v>SBY-MS-E1040-2018</v>
      </c>
      <c r="B371" s="26">
        <v>43146</v>
      </c>
      <c r="C371" s="42">
        <v>2018</v>
      </c>
      <c r="D371" s="27" t="s">
        <v>504</v>
      </c>
      <c r="E371" s="27" t="s">
        <v>41</v>
      </c>
      <c r="F371" s="42" t="str" cm="1">
        <f t="array" ref="F371">_xlfn.IFS(E371="Bandung","BDG",E371="Surabaya","SBY",E371="Jakarta","JKT")</f>
        <v>SBY</v>
      </c>
      <c r="G371" s="27" t="s">
        <v>160</v>
      </c>
      <c r="H371" s="27" t="s">
        <v>211</v>
      </c>
      <c r="I371" s="27" t="s">
        <v>35</v>
      </c>
      <c r="J371" s="26" t="s">
        <v>1655</v>
      </c>
      <c r="K371" s="26">
        <v>43147</v>
      </c>
      <c r="L371" s="27">
        <f t="shared" si="32"/>
        <v>1</v>
      </c>
      <c r="M371" s="45">
        <v>97650</v>
      </c>
      <c r="N371" s="45">
        <v>464700</v>
      </c>
      <c r="O371" s="27">
        <v>154</v>
      </c>
      <c r="P371" s="46">
        <f t="shared" si="33"/>
        <v>0.78986442866365392</v>
      </c>
      <c r="Q371" s="27">
        <v>12</v>
      </c>
      <c r="R371" s="44">
        <f t="shared" si="30"/>
        <v>5576400</v>
      </c>
      <c r="S371" s="29">
        <v>0</v>
      </c>
      <c r="T371" s="44">
        <f t="shared" si="34"/>
        <v>5576400</v>
      </c>
      <c r="U371" s="44">
        <f t="shared" si="35"/>
        <v>4404600</v>
      </c>
      <c r="V371" s="44"/>
    </row>
    <row r="372" spans="1:22" ht="14.5" x14ac:dyDescent="0.35">
      <c r="A372" s="47" t="str">
        <f t="shared" si="31"/>
        <v>SBY-MT-E1038-2018</v>
      </c>
      <c r="B372" s="26">
        <v>43264</v>
      </c>
      <c r="C372" s="42">
        <v>2018</v>
      </c>
      <c r="D372" s="27" t="s">
        <v>550</v>
      </c>
      <c r="E372" s="27" t="s">
        <v>41</v>
      </c>
      <c r="F372" s="42" t="str" cm="1">
        <f t="array" ref="F372">_xlfn.IFS(E372="Bandung","BDG",E372="Surabaya","SBY",E372="Jakarta","JKT")</f>
        <v>SBY</v>
      </c>
      <c r="G372" s="27" t="s">
        <v>98</v>
      </c>
      <c r="H372" s="27" t="s">
        <v>105</v>
      </c>
      <c r="I372" s="27" t="s">
        <v>35</v>
      </c>
      <c r="J372" s="26" t="s">
        <v>1672</v>
      </c>
      <c r="K372" s="26">
        <v>43264</v>
      </c>
      <c r="L372" s="27">
        <f t="shared" si="32"/>
        <v>0</v>
      </c>
      <c r="M372" s="45">
        <v>151050</v>
      </c>
      <c r="N372" s="45">
        <v>239700</v>
      </c>
      <c r="O372" s="27">
        <v>229</v>
      </c>
      <c r="P372" s="46">
        <f t="shared" si="33"/>
        <v>0.36983729662077597</v>
      </c>
      <c r="Q372" s="27">
        <v>26</v>
      </c>
      <c r="R372" s="44">
        <f t="shared" si="30"/>
        <v>6232200</v>
      </c>
      <c r="S372" s="29">
        <v>0.01</v>
      </c>
      <c r="T372" s="44">
        <f t="shared" si="34"/>
        <v>6169878</v>
      </c>
      <c r="U372" s="44">
        <f t="shared" si="35"/>
        <v>2242578</v>
      </c>
      <c r="V372" s="44"/>
    </row>
    <row r="373" spans="1:22" ht="14.5" x14ac:dyDescent="0.35">
      <c r="A373" s="47" t="str">
        <f t="shared" si="31"/>
        <v>SBY-MT-E1033-2018</v>
      </c>
      <c r="B373" s="26">
        <v>43462</v>
      </c>
      <c r="C373" s="42">
        <v>2018</v>
      </c>
      <c r="D373" s="27" t="s">
        <v>627</v>
      </c>
      <c r="E373" s="27" t="s">
        <v>41</v>
      </c>
      <c r="F373" s="42" t="str" cm="1">
        <f t="array" ref="F373">_xlfn.IFS(E373="Bandung","BDG",E373="Surabaya","SBY",E373="Jakarta","JKT")</f>
        <v>SBY</v>
      </c>
      <c r="G373" s="27" t="s">
        <v>60</v>
      </c>
      <c r="H373" s="27" t="s">
        <v>241</v>
      </c>
      <c r="I373" s="27" t="s">
        <v>39</v>
      </c>
      <c r="J373" s="26" t="s">
        <v>1715</v>
      </c>
      <c r="K373" s="26">
        <v>43464</v>
      </c>
      <c r="L373" s="27">
        <f t="shared" si="32"/>
        <v>2</v>
      </c>
      <c r="M373" s="45">
        <v>13950</v>
      </c>
      <c r="N373" s="45">
        <v>22200</v>
      </c>
      <c r="O373" s="27">
        <v>223</v>
      </c>
      <c r="P373" s="46">
        <f t="shared" si="33"/>
        <v>0.3716216216216216</v>
      </c>
      <c r="Q373" s="27">
        <v>1</v>
      </c>
      <c r="R373" s="44">
        <f t="shared" si="30"/>
        <v>22200</v>
      </c>
      <c r="S373" s="29">
        <v>0.01</v>
      </c>
      <c r="T373" s="44">
        <f t="shared" si="34"/>
        <v>21978</v>
      </c>
      <c r="U373" s="44">
        <f t="shared" si="35"/>
        <v>8028</v>
      </c>
      <c r="V373" s="44"/>
    </row>
    <row r="374" spans="1:22" ht="14.5" x14ac:dyDescent="0.35">
      <c r="A374" s="47" t="str">
        <f t="shared" si="31"/>
        <v>BDG-ML-E1032-2019</v>
      </c>
      <c r="B374" s="26">
        <v>43666</v>
      </c>
      <c r="C374" s="42">
        <v>2019</v>
      </c>
      <c r="D374" s="27" t="s">
        <v>676</v>
      </c>
      <c r="E374" s="27" t="s">
        <v>136</v>
      </c>
      <c r="F374" s="42" t="str" cm="1">
        <f t="array" ref="F374">_xlfn.IFS(E374="Bandung","BDG",E374="Surabaya","SBY",E374="Jakarta","JKT")</f>
        <v>BDG</v>
      </c>
      <c r="G374" s="27" t="s">
        <v>53</v>
      </c>
      <c r="H374" s="27" t="s">
        <v>227</v>
      </c>
      <c r="I374" s="27" t="s">
        <v>39</v>
      </c>
      <c r="J374" s="26">
        <v>43668</v>
      </c>
      <c r="K374" s="26">
        <v>43668</v>
      </c>
      <c r="L374" s="27">
        <f t="shared" si="32"/>
        <v>2</v>
      </c>
      <c r="M374" s="45">
        <v>22950</v>
      </c>
      <c r="N374" s="45">
        <v>41700</v>
      </c>
      <c r="O374" s="27">
        <v>228</v>
      </c>
      <c r="P374" s="46">
        <f t="shared" si="33"/>
        <v>0.44964028776978415</v>
      </c>
      <c r="Q374" s="27">
        <v>10</v>
      </c>
      <c r="R374" s="44">
        <f t="shared" si="30"/>
        <v>417000</v>
      </c>
      <c r="S374" s="29">
        <v>0.01</v>
      </c>
      <c r="T374" s="44">
        <f t="shared" si="34"/>
        <v>412830</v>
      </c>
      <c r="U374" s="44">
        <f t="shared" si="35"/>
        <v>183330</v>
      </c>
      <c r="V374" s="44"/>
    </row>
    <row r="375" spans="1:22" ht="14.5" x14ac:dyDescent="0.35">
      <c r="A375" s="47" t="str">
        <f t="shared" si="31"/>
        <v>BDG-ML-E1032-2019</v>
      </c>
      <c r="B375" s="26">
        <v>43720</v>
      </c>
      <c r="C375" s="42">
        <v>2019</v>
      </c>
      <c r="D375" s="27" t="s">
        <v>676</v>
      </c>
      <c r="E375" s="27" t="s">
        <v>136</v>
      </c>
      <c r="F375" s="42" t="str" cm="1">
        <f t="array" ref="F375">_xlfn.IFS(E375="Bandung","BDG",E375="Surabaya","SBY",E375="Jakarta","JKT")</f>
        <v>BDG</v>
      </c>
      <c r="G375" s="27" t="s">
        <v>53</v>
      </c>
      <c r="H375" s="27" t="s">
        <v>211</v>
      </c>
      <c r="I375" s="27" t="s">
        <v>35</v>
      </c>
      <c r="J375" s="26">
        <v>43808</v>
      </c>
      <c r="K375" s="26">
        <v>43720</v>
      </c>
      <c r="L375" s="27">
        <f t="shared" si="32"/>
        <v>0</v>
      </c>
      <c r="M375" s="45">
        <v>93000</v>
      </c>
      <c r="N375" s="45">
        <v>464700</v>
      </c>
      <c r="O375" s="27">
        <v>142</v>
      </c>
      <c r="P375" s="46">
        <f t="shared" si="33"/>
        <v>0.79987088444157517</v>
      </c>
      <c r="Q375" s="27">
        <v>24</v>
      </c>
      <c r="R375" s="44">
        <f t="shared" si="30"/>
        <v>11152800</v>
      </c>
      <c r="S375" s="29">
        <v>0.08</v>
      </c>
      <c r="T375" s="44">
        <f t="shared" si="34"/>
        <v>10260576</v>
      </c>
      <c r="U375" s="44">
        <f t="shared" si="35"/>
        <v>8028576</v>
      </c>
      <c r="V375" s="44"/>
    </row>
    <row r="376" spans="1:22" ht="14.5" x14ac:dyDescent="0.35">
      <c r="A376" s="47" t="str">
        <f t="shared" si="31"/>
        <v>BDG-ML-E1032-2019</v>
      </c>
      <c r="B376" s="26">
        <v>43800</v>
      </c>
      <c r="C376" s="42">
        <v>2019</v>
      </c>
      <c r="D376" s="27" t="s">
        <v>676</v>
      </c>
      <c r="E376" s="27" t="s">
        <v>136</v>
      </c>
      <c r="F376" s="42" t="str" cm="1">
        <f t="array" ref="F376">_xlfn.IFS(E376="Bandung","BDG",E376="Surabaya","SBY",E376="Jakarta","JKT")</f>
        <v>BDG</v>
      </c>
      <c r="G376" s="27" t="s">
        <v>53</v>
      </c>
      <c r="H376" s="27" t="s">
        <v>293</v>
      </c>
      <c r="I376" s="27" t="s">
        <v>35</v>
      </c>
      <c r="J376" s="26">
        <v>43536</v>
      </c>
      <c r="K376" s="26">
        <v>43802</v>
      </c>
      <c r="L376" s="27">
        <f t="shared" si="32"/>
        <v>2</v>
      </c>
      <c r="M376" s="45">
        <v>67950</v>
      </c>
      <c r="N376" s="45">
        <v>109500</v>
      </c>
      <c r="O376" s="27">
        <v>300</v>
      </c>
      <c r="P376" s="46">
        <f t="shared" si="33"/>
        <v>0.37945205479452054</v>
      </c>
      <c r="Q376" s="27">
        <v>41</v>
      </c>
      <c r="R376" s="44">
        <f t="shared" si="30"/>
        <v>4489500</v>
      </c>
      <c r="S376" s="29">
        <v>0.05</v>
      </c>
      <c r="T376" s="44">
        <f t="shared" si="34"/>
        <v>4265025</v>
      </c>
      <c r="U376" s="44">
        <f t="shared" si="35"/>
        <v>1479075</v>
      </c>
      <c r="V376" s="44"/>
    </row>
    <row r="377" spans="1:22" ht="14.5" x14ac:dyDescent="0.35">
      <c r="A377" s="47" t="str">
        <f t="shared" si="31"/>
        <v>SBY-MR-E1032-2018</v>
      </c>
      <c r="B377" s="26">
        <v>43275</v>
      </c>
      <c r="C377" s="42">
        <v>2018</v>
      </c>
      <c r="D377" s="27" t="s">
        <v>557</v>
      </c>
      <c r="E377" s="27" t="s">
        <v>41</v>
      </c>
      <c r="F377" s="42" t="str" cm="1">
        <f t="array" ref="F377">_xlfn.IFS(E377="Bandung","BDG",E377="Surabaya","SBY",E377="Jakarta","JKT")</f>
        <v>SBY</v>
      </c>
      <c r="G377" s="27" t="s">
        <v>53</v>
      </c>
      <c r="H377" s="27" t="s">
        <v>221</v>
      </c>
      <c r="I377" s="27" t="s">
        <v>35</v>
      </c>
      <c r="J377" s="26">
        <v>43276</v>
      </c>
      <c r="K377" s="26">
        <v>43276</v>
      </c>
      <c r="L377" s="27">
        <f t="shared" si="32"/>
        <v>1</v>
      </c>
      <c r="M377" s="45">
        <v>29100</v>
      </c>
      <c r="N377" s="45">
        <v>46200</v>
      </c>
      <c r="O377" s="27">
        <v>245</v>
      </c>
      <c r="P377" s="46">
        <f t="shared" si="33"/>
        <v>0.37012987012987014</v>
      </c>
      <c r="Q377" s="27">
        <v>4</v>
      </c>
      <c r="R377" s="44">
        <f t="shared" si="30"/>
        <v>184800</v>
      </c>
      <c r="S377" s="29">
        <v>0.03</v>
      </c>
      <c r="T377" s="44">
        <f t="shared" si="34"/>
        <v>179256</v>
      </c>
      <c r="U377" s="44">
        <f t="shared" si="35"/>
        <v>62856</v>
      </c>
      <c r="V377" s="44"/>
    </row>
    <row r="378" spans="1:22" ht="14.5" x14ac:dyDescent="0.35">
      <c r="A378" s="47" t="str">
        <f t="shared" si="31"/>
        <v>SBY-MR-E1032-2019</v>
      </c>
      <c r="B378" s="26">
        <v>43753</v>
      </c>
      <c r="C378" s="42">
        <v>2019</v>
      </c>
      <c r="D378" s="27" t="s">
        <v>557</v>
      </c>
      <c r="E378" s="27" t="s">
        <v>41</v>
      </c>
      <c r="F378" s="42" t="str" cm="1">
        <f t="array" ref="F378">_xlfn.IFS(E378="Bandung","BDG",E378="Surabaya","SBY",E378="Jakarta","JKT")</f>
        <v>SBY</v>
      </c>
      <c r="G378" s="27" t="s">
        <v>53</v>
      </c>
      <c r="H378" s="27" t="s">
        <v>440</v>
      </c>
      <c r="I378" s="27" t="s">
        <v>35</v>
      </c>
      <c r="J378" s="26">
        <v>43755</v>
      </c>
      <c r="K378" s="26">
        <v>43755</v>
      </c>
      <c r="L378" s="27">
        <f t="shared" si="32"/>
        <v>2</v>
      </c>
      <c r="M378" s="45">
        <v>27600</v>
      </c>
      <c r="N378" s="45">
        <v>43200</v>
      </c>
      <c r="O378" s="27">
        <v>156</v>
      </c>
      <c r="P378" s="46">
        <f t="shared" si="33"/>
        <v>0.3611111111111111</v>
      </c>
      <c r="Q378" s="27">
        <v>18</v>
      </c>
      <c r="R378" s="44">
        <f t="shared" si="30"/>
        <v>777600</v>
      </c>
      <c r="S378" s="29">
        <v>0.03</v>
      </c>
      <c r="T378" s="44">
        <f t="shared" si="34"/>
        <v>754272</v>
      </c>
      <c r="U378" s="44">
        <f t="shared" si="35"/>
        <v>257472</v>
      </c>
      <c r="V378" s="44"/>
    </row>
    <row r="379" spans="1:22" ht="14.5" x14ac:dyDescent="0.35">
      <c r="A379" s="47" t="str">
        <f t="shared" si="31"/>
        <v>JKT-LY-E1029-2017</v>
      </c>
      <c r="B379" s="26">
        <v>42813</v>
      </c>
      <c r="C379" s="42">
        <v>2017</v>
      </c>
      <c r="D379" s="27" t="s">
        <v>323</v>
      </c>
      <c r="E379" s="27" t="s">
        <v>32</v>
      </c>
      <c r="F379" s="42" t="str" cm="1">
        <f t="array" ref="F379">_xlfn.IFS(E379="Bandung","BDG",E379="Surabaya","SBY",E379="Jakarta","JKT")</f>
        <v>JKT</v>
      </c>
      <c r="G379" s="27" t="s">
        <v>37</v>
      </c>
      <c r="H379" s="27" t="s">
        <v>298</v>
      </c>
      <c r="I379" s="27" t="s">
        <v>73</v>
      </c>
      <c r="J379" s="26" t="s">
        <v>1597</v>
      </c>
      <c r="K379" s="26">
        <v>42815</v>
      </c>
      <c r="L379" s="27">
        <f t="shared" si="32"/>
        <v>2</v>
      </c>
      <c r="M379" s="45">
        <v>252000</v>
      </c>
      <c r="N379" s="45">
        <v>614550</v>
      </c>
      <c r="O379" s="27">
        <v>173</v>
      </c>
      <c r="P379" s="46">
        <f t="shared" si="33"/>
        <v>0.58994386136197219</v>
      </c>
      <c r="Q379" s="27">
        <v>49</v>
      </c>
      <c r="R379" s="44">
        <f t="shared" si="30"/>
        <v>30112950</v>
      </c>
      <c r="S379" s="29">
        <v>0.09</v>
      </c>
      <c r="T379" s="44">
        <f t="shared" si="34"/>
        <v>27402784.5</v>
      </c>
      <c r="U379" s="44">
        <f t="shared" si="35"/>
        <v>15054784.5</v>
      </c>
      <c r="V379" s="44"/>
    </row>
    <row r="380" spans="1:22" ht="14.5" x14ac:dyDescent="0.35">
      <c r="A380" s="47" t="str">
        <f t="shared" si="31"/>
        <v>JKT-LY-E1029-2017</v>
      </c>
      <c r="B380" s="26">
        <v>42838</v>
      </c>
      <c r="C380" s="42">
        <v>2017</v>
      </c>
      <c r="D380" s="27" t="s">
        <v>323</v>
      </c>
      <c r="E380" s="27" t="s">
        <v>32</v>
      </c>
      <c r="F380" s="42" t="str" cm="1">
        <f t="array" ref="F380">_xlfn.IFS(E380="Bandung","BDG",E380="Surabaya","SBY",E380="Jakarta","JKT")</f>
        <v>JKT</v>
      </c>
      <c r="G380" s="27" t="s">
        <v>37</v>
      </c>
      <c r="H380" s="27" t="s">
        <v>134</v>
      </c>
      <c r="I380" s="27" t="s">
        <v>35</v>
      </c>
      <c r="J380" s="26">
        <v>42838</v>
      </c>
      <c r="K380" s="26">
        <v>42838</v>
      </c>
      <c r="L380" s="27">
        <f t="shared" si="32"/>
        <v>0</v>
      </c>
      <c r="M380" s="45">
        <v>204600</v>
      </c>
      <c r="N380" s="45">
        <v>314700</v>
      </c>
      <c r="O380" s="27">
        <v>80</v>
      </c>
      <c r="P380" s="46">
        <f t="shared" si="33"/>
        <v>0.34985700667302194</v>
      </c>
      <c r="Q380" s="27">
        <v>23</v>
      </c>
      <c r="R380" s="44">
        <f t="shared" si="30"/>
        <v>7238100</v>
      </c>
      <c r="S380" s="29">
        <v>0.03</v>
      </c>
      <c r="T380" s="44">
        <f t="shared" si="34"/>
        <v>7020957</v>
      </c>
      <c r="U380" s="44">
        <f t="shared" si="35"/>
        <v>2315157</v>
      </c>
      <c r="V380" s="44"/>
    </row>
    <row r="381" spans="1:22" ht="14.5" x14ac:dyDescent="0.35">
      <c r="A381" s="47" t="str">
        <f t="shared" si="31"/>
        <v>JKT-LY-E1029-2018</v>
      </c>
      <c r="B381" s="26">
        <v>43269</v>
      </c>
      <c r="C381" s="42">
        <v>2018</v>
      </c>
      <c r="D381" s="27" t="s">
        <v>323</v>
      </c>
      <c r="E381" s="27" t="s">
        <v>32</v>
      </c>
      <c r="F381" s="42" t="str" cm="1">
        <f t="array" ref="F381">_xlfn.IFS(E381="Bandung","BDG",E381="Surabaya","SBY",E381="Jakarta","JKT")</f>
        <v>JKT</v>
      </c>
      <c r="G381" s="27" t="s">
        <v>37</v>
      </c>
      <c r="H381" s="27" t="s">
        <v>61</v>
      </c>
      <c r="I381" s="27" t="s">
        <v>35</v>
      </c>
      <c r="J381" s="26">
        <v>43270</v>
      </c>
      <c r="K381" s="26">
        <v>43270</v>
      </c>
      <c r="L381" s="27">
        <f t="shared" si="32"/>
        <v>1</v>
      </c>
      <c r="M381" s="45">
        <v>79950</v>
      </c>
      <c r="N381" s="45">
        <v>129000</v>
      </c>
      <c r="O381" s="27">
        <v>173</v>
      </c>
      <c r="P381" s="46">
        <f t="shared" si="33"/>
        <v>0.38023255813953488</v>
      </c>
      <c r="Q381" s="27">
        <v>2</v>
      </c>
      <c r="R381" s="44">
        <f t="shared" si="30"/>
        <v>258000</v>
      </c>
      <c r="S381" s="29">
        <v>0.05</v>
      </c>
      <c r="T381" s="44">
        <f t="shared" si="34"/>
        <v>245100</v>
      </c>
      <c r="U381" s="44">
        <f t="shared" si="35"/>
        <v>85200</v>
      </c>
      <c r="V381" s="44"/>
    </row>
    <row r="382" spans="1:22" ht="14.5" x14ac:dyDescent="0.35">
      <c r="A382" s="47" t="str">
        <f t="shared" si="31"/>
        <v>SBY-LP-E1036-2018</v>
      </c>
      <c r="B382" s="26">
        <v>43138</v>
      </c>
      <c r="C382" s="42">
        <v>2018</v>
      </c>
      <c r="D382" s="27" t="s">
        <v>498</v>
      </c>
      <c r="E382" s="27" t="s">
        <v>41</v>
      </c>
      <c r="F382" s="42" t="str" cm="1">
        <f t="array" ref="F382">_xlfn.IFS(E382="Bandung","BDG",E382="Surabaya","SBY",E382="Jakarta","JKT")</f>
        <v>SBY</v>
      </c>
      <c r="G382" s="27" t="s">
        <v>78</v>
      </c>
      <c r="H382" s="27" t="s">
        <v>214</v>
      </c>
      <c r="I382" s="27" t="s">
        <v>35</v>
      </c>
      <c r="J382" s="26">
        <v>43314</v>
      </c>
      <c r="K382" s="26">
        <v>43139</v>
      </c>
      <c r="L382" s="27">
        <f t="shared" si="32"/>
        <v>1</v>
      </c>
      <c r="M382" s="45">
        <v>54750</v>
      </c>
      <c r="N382" s="45">
        <v>89700</v>
      </c>
      <c r="O382" s="27">
        <v>226</v>
      </c>
      <c r="P382" s="46">
        <f t="shared" si="33"/>
        <v>0.38963210702341139</v>
      </c>
      <c r="Q382" s="27">
        <v>19</v>
      </c>
      <c r="R382" s="44">
        <f t="shared" si="30"/>
        <v>1704300</v>
      </c>
      <c r="S382" s="29">
        <v>0.01</v>
      </c>
      <c r="T382" s="44">
        <f t="shared" si="34"/>
        <v>1687257</v>
      </c>
      <c r="U382" s="44">
        <f t="shared" si="35"/>
        <v>647007</v>
      </c>
      <c r="V382" s="44"/>
    </row>
    <row r="383" spans="1:22" ht="14.5" x14ac:dyDescent="0.35">
      <c r="A383" s="47" t="str">
        <f t="shared" si="31"/>
        <v>SBY-LN-E1033-2019</v>
      </c>
      <c r="B383" s="26">
        <v>43656</v>
      </c>
      <c r="C383" s="42">
        <v>2019</v>
      </c>
      <c r="D383" s="27" t="s">
        <v>671</v>
      </c>
      <c r="E383" s="27" t="s">
        <v>41</v>
      </c>
      <c r="F383" s="42" t="str" cm="1">
        <f t="array" ref="F383">_xlfn.IFS(E383="Bandung","BDG",E383="Surabaya","SBY",E383="Jakarta","JKT")</f>
        <v>SBY</v>
      </c>
      <c r="G383" s="27" t="s">
        <v>60</v>
      </c>
      <c r="H383" s="27" t="s">
        <v>45</v>
      </c>
      <c r="I383" s="27" t="s">
        <v>46</v>
      </c>
      <c r="J383" s="26">
        <v>43663</v>
      </c>
      <c r="K383" s="26">
        <v>43663</v>
      </c>
      <c r="L383" s="27">
        <f t="shared" si="32"/>
        <v>7</v>
      </c>
      <c r="M383" s="45">
        <v>1125000</v>
      </c>
      <c r="N383" s="45">
        <v>1814550</v>
      </c>
      <c r="O383" s="27">
        <v>77</v>
      </c>
      <c r="P383" s="46">
        <f t="shared" si="33"/>
        <v>0.38001157311730183</v>
      </c>
      <c r="Q383" s="27">
        <v>42</v>
      </c>
      <c r="R383" s="44">
        <f t="shared" si="30"/>
        <v>76211100</v>
      </c>
      <c r="S383" s="29">
        <v>0</v>
      </c>
      <c r="T383" s="44">
        <f t="shared" si="34"/>
        <v>76211100</v>
      </c>
      <c r="U383" s="44">
        <f t="shared" si="35"/>
        <v>28961100</v>
      </c>
      <c r="V383" s="44"/>
    </row>
    <row r="384" spans="1:22" ht="14.5" x14ac:dyDescent="0.35">
      <c r="A384" s="47" t="str">
        <f t="shared" si="31"/>
        <v>JKT-LL-E1029-2018</v>
      </c>
      <c r="B384" s="26">
        <v>43280</v>
      </c>
      <c r="C384" s="42">
        <v>2018</v>
      </c>
      <c r="D384" s="27" t="s">
        <v>560</v>
      </c>
      <c r="E384" s="27" t="s">
        <v>32</v>
      </c>
      <c r="F384" s="42" t="str" cm="1">
        <f t="array" ref="F384">_xlfn.IFS(E384="Bandung","BDG",E384="Surabaya","SBY",E384="Jakarta","JKT")</f>
        <v>JKT</v>
      </c>
      <c r="G384" s="27" t="s">
        <v>37</v>
      </c>
      <c r="H384" s="27" t="s">
        <v>150</v>
      </c>
      <c r="I384" s="27" t="s">
        <v>35</v>
      </c>
      <c r="J384" s="26" t="s">
        <v>1675</v>
      </c>
      <c r="K384" s="26">
        <v>43280</v>
      </c>
      <c r="L384" s="27">
        <f t="shared" si="32"/>
        <v>0</v>
      </c>
      <c r="M384" s="45">
        <v>185850</v>
      </c>
      <c r="N384" s="45">
        <v>299700</v>
      </c>
      <c r="O384" s="27">
        <v>248</v>
      </c>
      <c r="P384" s="46">
        <f t="shared" si="33"/>
        <v>0.37987987987987987</v>
      </c>
      <c r="Q384" s="27">
        <v>32</v>
      </c>
      <c r="R384" s="44">
        <f t="shared" si="30"/>
        <v>9590400</v>
      </c>
      <c r="S384" s="29">
        <v>0.05</v>
      </c>
      <c r="T384" s="44">
        <f t="shared" si="34"/>
        <v>9110880</v>
      </c>
      <c r="U384" s="44">
        <f t="shared" si="35"/>
        <v>3163680</v>
      </c>
      <c r="V384" s="44"/>
    </row>
    <row r="385" spans="1:22" ht="14.5" x14ac:dyDescent="0.35">
      <c r="A385" s="47" t="str">
        <f t="shared" si="31"/>
        <v>SBY-LS-E1038-2017</v>
      </c>
      <c r="B385" s="26">
        <v>42781</v>
      </c>
      <c r="C385" s="42">
        <v>2017</v>
      </c>
      <c r="D385" s="27" t="s">
        <v>301</v>
      </c>
      <c r="E385" s="27" t="s">
        <v>41</v>
      </c>
      <c r="F385" s="42" t="str" cm="1">
        <f t="array" ref="F385">_xlfn.IFS(E385="Bandung","BDG",E385="Surabaya","SBY",E385="Jakarta","JKT")</f>
        <v>SBY</v>
      </c>
      <c r="G385" s="27" t="s">
        <v>98</v>
      </c>
      <c r="H385" s="27" t="s">
        <v>251</v>
      </c>
      <c r="I385" s="27" t="s">
        <v>73</v>
      </c>
      <c r="J385" s="26" t="s">
        <v>1593</v>
      </c>
      <c r="K385" s="26">
        <v>42781</v>
      </c>
      <c r="L385" s="27">
        <f t="shared" si="32"/>
        <v>0</v>
      </c>
      <c r="M385" s="45">
        <v>77850</v>
      </c>
      <c r="N385" s="45">
        <v>194700</v>
      </c>
      <c r="O385" s="27">
        <v>290</v>
      </c>
      <c r="P385" s="46">
        <f t="shared" si="33"/>
        <v>0.60015408320493069</v>
      </c>
      <c r="Q385" s="27">
        <v>40</v>
      </c>
      <c r="R385" s="44">
        <f t="shared" si="30"/>
        <v>7788000</v>
      </c>
      <c r="S385" s="29">
        <v>0.05</v>
      </c>
      <c r="T385" s="44">
        <f t="shared" si="34"/>
        <v>7398600</v>
      </c>
      <c r="U385" s="44">
        <f t="shared" si="35"/>
        <v>4284600</v>
      </c>
      <c r="V385" s="44"/>
    </row>
    <row r="386" spans="1:22" ht="14.5" x14ac:dyDescent="0.35">
      <c r="A386" s="47" t="str">
        <f t="shared" si="31"/>
        <v>SBY-LS-E1038-2017</v>
      </c>
      <c r="B386" s="26">
        <v>42993</v>
      </c>
      <c r="C386" s="42">
        <v>2017</v>
      </c>
      <c r="D386" s="27" t="s">
        <v>301</v>
      </c>
      <c r="E386" s="27" t="s">
        <v>41</v>
      </c>
      <c r="F386" s="42" t="str" cm="1">
        <f t="array" ref="F386">_xlfn.IFS(E386="Bandung","BDG",E386="Surabaya","SBY",E386="Jakarta","JKT")</f>
        <v>SBY</v>
      </c>
      <c r="G386" s="27" t="s">
        <v>98</v>
      </c>
      <c r="H386" s="27" t="s">
        <v>426</v>
      </c>
      <c r="I386" s="27" t="s">
        <v>39</v>
      </c>
      <c r="J386" s="26">
        <v>42994</v>
      </c>
      <c r="K386" s="26">
        <v>42994</v>
      </c>
      <c r="L386" s="27">
        <f t="shared" si="32"/>
        <v>1</v>
      </c>
      <c r="M386" s="45">
        <v>16350.000000000002</v>
      </c>
      <c r="N386" s="45">
        <v>27300</v>
      </c>
      <c r="O386" s="27">
        <v>116</v>
      </c>
      <c r="P386" s="46">
        <f t="shared" si="33"/>
        <v>0.40109890109890101</v>
      </c>
      <c r="Q386" s="27">
        <v>40</v>
      </c>
      <c r="R386" s="44">
        <f t="shared" si="30"/>
        <v>1092000</v>
      </c>
      <c r="S386" s="29">
        <v>0.1</v>
      </c>
      <c r="T386" s="44">
        <f t="shared" si="34"/>
        <v>982800</v>
      </c>
      <c r="U386" s="44">
        <f t="shared" si="35"/>
        <v>328799.99999999988</v>
      </c>
      <c r="V386" s="44"/>
    </row>
    <row r="387" spans="1:22" ht="14.5" x14ac:dyDescent="0.35">
      <c r="A387" s="47" t="str">
        <f t="shared" si="31"/>
        <v>SBY-LH-E1037-2017</v>
      </c>
      <c r="B387" s="26">
        <v>43062</v>
      </c>
      <c r="C387" s="42">
        <v>2017</v>
      </c>
      <c r="D387" s="27" t="s">
        <v>469</v>
      </c>
      <c r="E387" s="27" t="s">
        <v>41</v>
      </c>
      <c r="F387" s="42" t="str" cm="1">
        <f t="array" ref="F387">_xlfn.IFS(E387="Bandung","BDG",E387="Surabaya","SBY",E387="Jakarta","JKT")</f>
        <v>SBY</v>
      </c>
      <c r="G387" s="27" t="s">
        <v>83</v>
      </c>
      <c r="H387" s="27" t="s">
        <v>204</v>
      </c>
      <c r="I387" s="27" t="s">
        <v>39</v>
      </c>
      <c r="J387" s="26">
        <v>43063</v>
      </c>
      <c r="K387" s="26">
        <v>43063</v>
      </c>
      <c r="L387" s="27">
        <f t="shared" si="32"/>
        <v>1</v>
      </c>
      <c r="M387" s="45">
        <v>3600</v>
      </c>
      <c r="N387" s="45">
        <v>18900</v>
      </c>
      <c r="O387" s="27">
        <v>316</v>
      </c>
      <c r="P387" s="46">
        <f t="shared" si="33"/>
        <v>0.80952380952380953</v>
      </c>
      <c r="Q387" s="27">
        <v>2</v>
      </c>
      <c r="R387" s="44">
        <f t="shared" si="30"/>
        <v>37800</v>
      </c>
      <c r="S387" s="29">
        <v>0.06</v>
      </c>
      <c r="T387" s="44">
        <f t="shared" si="34"/>
        <v>35532</v>
      </c>
      <c r="U387" s="44">
        <f t="shared" si="35"/>
        <v>28332</v>
      </c>
      <c r="V387" s="44"/>
    </row>
    <row r="388" spans="1:22" ht="14.5" x14ac:dyDescent="0.35">
      <c r="A388" s="47" t="str">
        <f t="shared" si="31"/>
        <v>SBY-LS-E1036-2017</v>
      </c>
      <c r="B388" s="26">
        <v>42885</v>
      </c>
      <c r="C388" s="42">
        <v>2017</v>
      </c>
      <c r="D388" s="27" t="s">
        <v>373</v>
      </c>
      <c r="E388" s="27" t="s">
        <v>41</v>
      </c>
      <c r="F388" s="42" t="str" cm="1">
        <f t="array" ref="F388">_xlfn.IFS(E388="Bandung","BDG",E388="Surabaya","SBY",E388="Jakarta","JKT")</f>
        <v>SBY</v>
      </c>
      <c r="G388" s="27" t="s">
        <v>78</v>
      </c>
      <c r="H388" s="27" t="s">
        <v>374</v>
      </c>
      <c r="I388" s="27" t="s">
        <v>39</v>
      </c>
      <c r="J388" s="26">
        <v>42890</v>
      </c>
      <c r="K388" s="26">
        <v>42831</v>
      </c>
      <c r="L388" s="27">
        <f t="shared" si="32"/>
        <v>-54</v>
      </c>
      <c r="M388" s="45">
        <v>23550</v>
      </c>
      <c r="N388" s="45">
        <v>49200</v>
      </c>
      <c r="O388" s="27">
        <v>70</v>
      </c>
      <c r="P388" s="46">
        <f t="shared" si="33"/>
        <v>0.52134146341463417</v>
      </c>
      <c r="Q388" s="27">
        <v>44</v>
      </c>
      <c r="R388" s="44">
        <f t="shared" ref="R388:R451" si="36">N388*Q388</f>
        <v>2164800</v>
      </c>
      <c r="S388" s="29">
        <v>0</v>
      </c>
      <c r="T388" s="44">
        <f t="shared" si="34"/>
        <v>2164800</v>
      </c>
      <c r="U388" s="44">
        <f t="shared" si="35"/>
        <v>1128600</v>
      </c>
      <c r="V388" s="44"/>
    </row>
    <row r="389" spans="1:22" ht="14.5" x14ac:dyDescent="0.35">
      <c r="A389" s="47" t="str">
        <f t="shared" ref="A389:A452" si="37">_xlfn.CONCAT(F389,"-",LEFT(D389,1),MID(D389,FIND(" ",D389)+1,1),"-",G389,"-",C389)</f>
        <v>SBY-LS-E1036-2019</v>
      </c>
      <c r="B389" s="26">
        <v>43473</v>
      </c>
      <c r="C389" s="42">
        <v>2019</v>
      </c>
      <c r="D389" s="27" t="s">
        <v>373</v>
      </c>
      <c r="E389" s="27" t="s">
        <v>41</v>
      </c>
      <c r="F389" s="42" t="str" cm="1">
        <f t="array" ref="F389">_xlfn.IFS(E389="Bandung","BDG",E389="Surabaya","SBY",E389="Jakarta","JKT")</f>
        <v>SBY</v>
      </c>
      <c r="G389" s="27" t="s">
        <v>78</v>
      </c>
      <c r="H389" s="27" t="s">
        <v>180</v>
      </c>
      <c r="I389" s="27" t="s">
        <v>35</v>
      </c>
      <c r="J389" s="26">
        <v>43475</v>
      </c>
      <c r="K389" s="26">
        <v>43739</v>
      </c>
      <c r="L389" s="27">
        <f t="shared" ref="L389:L452" si="38">K389-B389</f>
        <v>266</v>
      </c>
      <c r="M389" s="45">
        <v>51000</v>
      </c>
      <c r="N389" s="45">
        <v>81000</v>
      </c>
      <c r="O389" s="27">
        <v>191</v>
      </c>
      <c r="P389" s="46">
        <f t="shared" ref="P389:P452" si="39">(N389-M389)/N389</f>
        <v>0.37037037037037035</v>
      </c>
      <c r="Q389" s="27">
        <v>10</v>
      </c>
      <c r="R389" s="44">
        <f t="shared" si="36"/>
        <v>810000</v>
      </c>
      <c r="S389" s="29">
        <v>0.04</v>
      </c>
      <c r="T389" s="44">
        <f t="shared" ref="T389:T452" si="40">R389*(1-S389)</f>
        <v>777600</v>
      </c>
      <c r="U389" s="44">
        <f t="shared" ref="U389:U452" si="41">T389-(M389*Q389)</f>
        <v>267600</v>
      </c>
      <c r="V389" s="44"/>
    </row>
    <row r="390" spans="1:22" ht="14.5" x14ac:dyDescent="0.35">
      <c r="A390" s="47" t="str">
        <f t="shared" si="37"/>
        <v>BDG-LP-E1036-2016</v>
      </c>
      <c r="B390" s="26">
        <v>42650</v>
      </c>
      <c r="C390" s="42">
        <v>2016</v>
      </c>
      <c r="D390" s="27" t="s">
        <v>181</v>
      </c>
      <c r="E390" s="27" t="s">
        <v>136</v>
      </c>
      <c r="F390" s="42" t="str" cm="1">
        <f t="array" ref="F390">_xlfn.IFS(E390="Bandung","BDG",E390="Surabaya","SBY",E390="Jakarta","JKT")</f>
        <v>BDG</v>
      </c>
      <c r="G390" s="27" t="s">
        <v>78</v>
      </c>
      <c r="H390" s="27" t="s">
        <v>182</v>
      </c>
      <c r="I390" s="27" t="s">
        <v>39</v>
      </c>
      <c r="J390" s="26">
        <v>42651</v>
      </c>
      <c r="K390" s="26">
        <v>42592</v>
      </c>
      <c r="L390" s="27">
        <f t="shared" si="38"/>
        <v>-58</v>
      </c>
      <c r="M390" s="45">
        <v>166650</v>
      </c>
      <c r="N390" s="45">
        <v>297600</v>
      </c>
      <c r="O390" s="27">
        <v>187</v>
      </c>
      <c r="P390" s="46">
        <f t="shared" si="39"/>
        <v>0.44002016129032256</v>
      </c>
      <c r="Q390" s="27">
        <v>26</v>
      </c>
      <c r="R390" s="44">
        <f t="shared" si="36"/>
        <v>7737600</v>
      </c>
      <c r="S390" s="29">
        <v>7.0000000000000007E-2</v>
      </c>
      <c r="T390" s="44">
        <f t="shared" si="40"/>
        <v>7195967.9999999991</v>
      </c>
      <c r="U390" s="44">
        <f t="shared" si="41"/>
        <v>2863067.9999999991</v>
      </c>
      <c r="V390" s="44"/>
    </row>
    <row r="391" spans="1:22" ht="14.5" x14ac:dyDescent="0.35">
      <c r="A391" s="47" t="str">
        <f t="shared" si="37"/>
        <v>BDG-LP-E1036-2017</v>
      </c>
      <c r="B391" s="26">
        <v>42743</v>
      </c>
      <c r="C391" s="42">
        <v>2017</v>
      </c>
      <c r="D391" s="27" t="s">
        <v>181</v>
      </c>
      <c r="E391" s="27" t="s">
        <v>136</v>
      </c>
      <c r="F391" s="42" t="str" cm="1">
        <f t="array" ref="F391">_xlfn.IFS(E391="Bandung","BDG",E391="Surabaya","SBY",E391="Jakarta","JKT")</f>
        <v>BDG</v>
      </c>
      <c r="G391" s="27" t="s">
        <v>78</v>
      </c>
      <c r="H391" s="27" t="s">
        <v>260</v>
      </c>
      <c r="I391" s="27" t="s">
        <v>39</v>
      </c>
      <c r="J391" s="26">
        <v>43009</v>
      </c>
      <c r="K391" s="26">
        <v>42745</v>
      </c>
      <c r="L391" s="27">
        <f t="shared" si="38"/>
        <v>2</v>
      </c>
      <c r="M391" s="45">
        <v>49800</v>
      </c>
      <c r="N391" s="45">
        <v>77700</v>
      </c>
      <c r="O391" s="27">
        <v>117</v>
      </c>
      <c r="P391" s="46">
        <f t="shared" si="39"/>
        <v>0.35907335907335908</v>
      </c>
      <c r="Q391" s="27">
        <v>23</v>
      </c>
      <c r="R391" s="44">
        <f t="shared" si="36"/>
        <v>1787100</v>
      </c>
      <c r="S391" s="29">
        <v>0.05</v>
      </c>
      <c r="T391" s="44">
        <f t="shared" si="40"/>
        <v>1697745</v>
      </c>
      <c r="U391" s="44">
        <f t="shared" si="41"/>
        <v>552345</v>
      </c>
      <c r="V391" s="44"/>
    </row>
    <row r="392" spans="1:22" ht="14.5" x14ac:dyDescent="0.35">
      <c r="A392" s="47" t="str">
        <f t="shared" si="37"/>
        <v>BDG-LP-E1036-2017</v>
      </c>
      <c r="B392" s="26">
        <v>42854</v>
      </c>
      <c r="C392" s="42">
        <v>2017</v>
      </c>
      <c r="D392" s="27" t="s">
        <v>181</v>
      </c>
      <c r="E392" s="27" t="s">
        <v>136</v>
      </c>
      <c r="F392" s="42" t="str" cm="1">
        <f t="array" ref="F392">_xlfn.IFS(E392="Bandung","BDG",E392="Surabaya","SBY",E392="Jakarta","JKT")</f>
        <v>BDG</v>
      </c>
      <c r="G392" s="27" t="s">
        <v>78</v>
      </c>
      <c r="H392" s="27" t="s">
        <v>251</v>
      </c>
      <c r="I392" s="27" t="s">
        <v>73</v>
      </c>
      <c r="J392" s="26">
        <v>42856</v>
      </c>
      <c r="K392" s="26">
        <v>42740</v>
      </c>
      <c r="L392" s="27">
        <f t="shared" si="38"/>
        <v>-114</v>
      </c>
      <c r="M392" s="45">
        <v>77850</v>
      </c>
      <c r="N392" s="45">
        <v>194700</v>
      </c>
      <c r="O392" s="27">
        <v>250</v>
      </c>
      <c r="P392" s="46">
        <f t="shared" si="39"/>
        <v>0.60015408320493069</v>
      </c>
      <c r="Q392" s="27">
        <v>34</v>
      </c>
      <c r="R392" s="44">
        <f t="shared" si="36"/>
        <v>6619800</v>
      </c>
      <c r="S392" s="29">
        <v>0.04</v>
      </c>
      <c r="T392" s="44">
        <f t="shared" si="40"/>
        <v>6355008</v>
      </c>
      <c r="U392" s="44">
        <f t="shared" si="41"/>
        <v>3708108</v>
      </c>
      <c r="V392" s="44"/>
    </row>
    <row r="393" spans="1:22" ht="14.5" x14ac:dyDescent="0.35">
      <c r="A393" s="47" t="str">
        <f t="shared" si="37"/>
        <v>BDG-LP-E1036-2017</v>
      </c>
      <c r="B393" s="26">
        <v>42970</v>
      </c>
      <c r="C393" s="42">
        <v>2017</v>
      </c>
      <c r="D393" s="27" t="s">
        <v>181</v>
      </c>
      <c r="E393" s="27" t="s">
        <v>136</v>
      </c>
      <c r="F393" s="42" t="str" cm="1">
        <f t="array" ref="F393">_xlfn.IFS(E393="Bandung","BDG",E393="Surabaya","SBY",E393="Jakarta","JKT")</f>
        <v>BDG</v>
      </c>
      <c r="G393" s="27" t="s">
        <v>78</v>
      </c>
      <c r="H393" s="27" t="s">
        <v>305</v>
      </c>
      <c r="I393" s="27" t="s">
        <v>39</v>
      </c>
      <c r="J393" s="26" t="s">
        <v>1623</v>
      </c>
      <c r="K393" s="26">
        <v>42971</v>
      </c>
      <c r="L393" s="27">
        <f t="shared" si="38"/>
        <v>1</v>
      </c>
      <c r="M393" s="45">
        <v>78300</v>
      </c>
      <c r="N393" s="45">
        <v>147750</v>
      </c>
      <c r="O393" s="27">
        <v>61</v>
      </c>
      <c r="P393" s="46">
        <f t="shared" si="39"/>
        <v>0.4700507614213198</v>
      </c>
      <c r="Q393" s="27">
        <v>20</v>
      </c>
      <c r="R393" s="44">
        <f t="shared" si="36"/>
        <v>2955000</v>
      </c>
      <c r="S393" s="29">
        <v>0.06</v>
      </c>
      <c r="T393" s="44">
        <f t="shared" si="40"/>
        <v>2777700</v>
      </c>
      <c r="U393" s="44">
        <f t="shared" si="41"/>
        <v>1211700</v>
      </c>
      <c r="V393" s="44"/>
    </row>
    <row r="394" spans="1:22" ht="14.5" x14ac:dyDescent="0.35">
      <c r="A394" s="47" t="str">
        <f t="shared" si="37"/>
        <v>BDG-LP-E1036-2019</v>
      </c>
      <c r="B394" s="26">
        <v>43595</v>
      </c>
      <c r="C394" s="42">
        <v>2019</v>
      </c>
      <c r="D394" s="27" t="s">
        <v>181</v>
      </c>
      <c r="E394" s="27" t="s">
        <v>136</v>
      </c>
      <c r="F394" s="42" t="str" cm="1">
        <f t="array" ref="F394">_xlfn.IFS(E394="Bandung","BDG",E394="Surabaya","SBY",E394="Jakarta","JKT")</f>
        <v>BDG</v>
      </c>
      <c r="G394" s="27" t="s">
        <v>78</v>
      </c>
      <c r="H394" s="27" t="s">
        <v>43</v>
      </c>
      <c r="I394" s="27" t="s">
        <v>39</v>
      </c>
      <c r="J394" s="26">
        <v>43597</v>
      </c>
      <c r="K394" s="26">
        <v>43804</v>
      </c>
      <c r="L394" s="27">
        <f t="shared" si="38"/>
        <v>209</v>
      </c>
      <c r="M394" s="45">
        <v>36150</v>
      </c>
      <c r="N394" s="45">
        <v>55650</v>
      </c>
      <c r="O394" s="27">
        <v>68</v>
      </c>
      <c r="P394" s="46">
        <f t="shared" si="39"/>
        <v>0.35040431266846361</v>
      </c>
      <c r="Q394" s="27">
        <v>16</v>
      </c>
      <c r="R394" s="44">
        <f t="shared" si="36"/>
        <v>890400</v>
      </c>
      <c r="S394" s="29">
        <v>0.1</v>
      </c>
      <c r="T394" s="44">
        <f t="shared" si="40"/>
        <v>801360</v>
      </c>
      <c r="U394" s="44">
        <f t="shared" si="41"/>
        <v>222960</v>
      </c>
      <c r="V394" s="44"/>
    </row>
    <row r="395" spans="1:22" ht="14.5" x14ac:dyDescent="0.35">
      <c r="A395" s="47" t="str">
        <f t="shared" si="37"/>
        <v>JKT-LN-E1029-2018</v>
      </c>
      <c r="B395" s="26">
        <v>43103</v>
      </c>
      <c r="C395" s="42">
        <v>2018</v>
      </c>
      <c r="D395" s="27" t="s">
        <v>482</v>
      </c>
      <c r="E395" s="27" t="s">
        <v>32</v>
      </c>
      <c r="F395" s="42" t="str" cm="1">
        <f t="array" ref="F395">_xlfn.IFS(E395="Bandung","BDG",E395="Surabaya","SBY",E395="Jakarta","JKT")</f>
        <v>JKT</v>
      </c>
      <c r="G395" s="27" t="s">
        <v>37</v>
      </c>
      <c r="H395" s="27" t="s">
        <v>127</v>
      </c>
      <c r="I395" s="27" t="s">
        <v>35</v>
      </c>
      <c r="J395" s="26">
        <v>43221</v>
      </c>
      <c r="K395" s="26">
        <v>43105</v>
      </c>
      <c r="L395" s="27">
        <f t="shared" si="38"/>
        <v>2</v>
      </c>
      <c r="M395" s="45">
        <v>296700</v>
      </c>
      <c r="N395" s="45">
        <v>689850</v>
      </c>
      <c r="O395" s="27">
        <v>98</v>
      </c>
      <c r="P395" s="46">
        <f t="shared" si="39"/>
        <v>0.56990650141335075</v>
      </c>
      <c r="Q395" s="27">
        <v>23</v>
      </c>
      <c r="R395" s="44">
        <f t="shared" si="36"/>
        <v>15866550</v>
      </c>
      <c r="S395" s="29">
        <v>0.1</v>
      </c>
      <c r="T395" s="44">
        <f t="shared" si="40"/>
        <v>14279895</v>
      </c>
      <c r="U395" s="44">
        <f t="shared" si="41"/>
        <v>7455795</v>
      </c>
      <c r="V395" s="44"/>
    </row>
    <row r="396" spans="1:22" ht="14.5" x14ac:dyDescent="0.35">
      <c r="A396" s="47" t="str">
        <f t="shared" si="37"/>
        <v>JKT-LN-E1029-2018</v>
      </c>
      <c r="B396" s="26">
        <v>43103</v>
      </c>
      <c r="C396" s="42">
        <v>2018</v>
      </c>
      <c r="D396" s="27" t="s">
        <v>482</v>
      </c>
      <c r="E396" s="27" t="s">
        <v>32</v>
      </c>
      <c r="F396" s="42" t="str" cm="1">
        <f t="array" ref="F396">_xlfn.IFS(E396="Bandung","BDG",E396="Surabaya","SBY",E396="Jakarta","JKT")</f>
        <v>JKT</v>
      </c>
      <c r="G396" s="27" t="s">
        <v>37</v>
      </c>
      <c r="H396" s="27" t="s">
        <v>241</v>
      </c>
      <c r="I396" s="27" t="s">
        <v>39</v>
      </c>
      <c r="J396" s="26">
        <v>43191</v>
      </c>
      <c r="K396" s="26">
        <v>43104</v>
      </c>
      <c r="L396" s="27">
        <f t="shared" si="38"/>
        <v>1</v>
      </c>
      <c r="M396" s="45">
        <v>13950</v>
      </c>
      <c r="N396" s="45">
        <v>22200</v>
      </c>
      <c r="O396" s="27">
        <v>222</v>
      </c>
      <c r="P396" s="46">
        <f t="shared" si="39"/>
        <v>0.3716216216216216</v>
      </c>
      <c r="Q396" s="27">
        <v>33</v>
      </c>
      <c r="R396" s="44">
        <f t="shared" si="36"/>
        <v>732600</v>
      </c>
      <c r="S396" s="29">
        <v>0.06</v>
      </c>
      <c r="T396" s="44">
        <f t="shared" si="40"/>
        <v>688644</v>
      </c>
      <c r="U396" s="44">
        <f t="shared" si="41"/>
        <v>228294</v>
      </c>
      <c r="V396" s="44"/>
    </row>
    <row r="397" spans="1:22" ht="14.5" x14ac:dyDescent="0.35">
      <c r="A397" s="47" t="str">
        <f t="shared" si="37"/>
        <v>JKT-LN-E1029-2018</v>
      </c>
      <c r="B397" s="26">
        <v>43132</v>
      </c>
      <c r="C397" s="42">
        <v>2018</v>
      </c>
      <c r="D397" s="27" t="s">
        <v>482</v>
      </c>
      <c r="E397" s="27" t="s">
        <v>32</v>
      </c>
      <c r="F397" s="42" t="str" cm="1">
        <f t="array" ref="F397">_xlfn.IFS(E397="Bandung","BDG",E397="Surabaya","SBY",E397="Jakarta","JKT")</f>
        <v>JKT</v>
      </c>
      <c r="G397" s="27" t="s">
        <v>37</v>
      </c>
      <c r="H397" s="27" t="s">
        <v>105</v>
      </c>
      <c r="I397" s="27" t="s">
        <v>35</v>
      </c>
      <c r="J397" s="26">
        <v>43134</v>
      </c>
      <c r="K397" s="26">
        <v>43161</v>
      </c>
      <c r="L397" s="27">
        <f t="shared" si="38"/>
        <v>29</v>
      </c>
      <c r="M397" s="45">
        <v>124650.00000000001</v>
      </c>
      <c r="N397" s="45">
        <v>239700</v>
      </c>
      <c r="O397" s="27">
        <v>203</v>
      </c>
      <c r="P397" s="46">
        <f t="shared" si="39"/>
        <v>0.47997496871088857</v>
      </c>
      <c r="Q397" s="27">
        <v>38</v>
      </c>
      <c r="R397" s="44">
        <f t="shared" si="36"/>
        <v>9108600</v>
      </c>
      <c r="S397" s="29">
        <v>0.1</v>
      </c>
      <c r="T397" s="44">
        <f t="shared" si="40"/>
        <v>8197740</v>
      </c>
      <c r="U397" s="44">
        <f t="shared" si="41"/>
        <v>3461039.9999999991</v>
      </c>
      <c r="V397" s="44"/>
    </row>
    <row r="398" spans="1:22" ht="14.5" x14ac:dyDescent="0.35">
      <c r="A398" s="47" t="str">
        <f t="shared" si="37"/>
        <v>JKT-LN-E1029-2019</v>
      </c>
      <c r="B398" s="26">
        <v>43704</v>
      </c>
      <c r="C398" s="42">
        <v>2019</v>
      </c>
      <c r="D398" s="27" t="s">
        <v>482</v>
      </c>
      <c r="E398" s="27" t="s">
        <v>32</v>
      </c>
      <c r="F398" s="42" t="str" cm="1">
        <f t="array" ref="F398">_xlfn.IFS(E398="Bandung","BDG",E398="Surabaya","SBY",E398="Jakarta","JKT")</f>
        <v>JKT</v>
      </c>
      <c r="G398" s="27" t="s">
        <v>37</v>
      </c>
      <c r="H398" s="27" t="s">
        <v>185</v>
      </c>
      <c r="I398" s="27" t="s">
        <v>35</v>
      </c>
      <c r="J398" s="26" t="s">
        <v>1742</v>
      </c>
      <c r="K398" s="26">
        <v>43706</v>
      </c>
      <c r="L398" s="27">
        <f t="shared" si="38"/>
        <v>2</v>
      </c>
      <c r="M398" s="45">
        <v>19950</v>
      </c>
      <c r="N398" s="45">
        <v>31200</v>
      </c>
      <c r="O398" s="27">
        <v>87</v>
      </c>
      <c r="P398" s="46">
        <f t="shared" si="39"/>
        <v>0.36057692307692307</v>
      </c>
      <c r="Q398" s="27">
        <v>43</v>
      </c>
      <c r="R398" s="44">
        <f t="shared" si="36"/>
        <v>1341600</v>
      </c>
      <c r="S398" s="29">
        <v>0.05</v>
      </c>
      <c r="T398" s="44">
        <f t="shared" si="40"/>
        <v>1274520</v>
      </c>
      <c r="U398" s="44">
        <f t="shared" si="41"/>
        <v>416670</v>
      </c>
      <c r="V398" s="44"/>
    </row>
    <row r="399" spans="1:22" ht="14.5" x14ac:dyDescent="0.35">
      <c r="A399" s="47" t="str">
        <f t="shared" si="37"/>
        <v>JKT-LP-E1028-2018</v>
      </c>
      <c r="B399" s="26">
        <v>43350</v>
      </c>
      <c r="C399" s="42">
        <v>2018</v>
      </c>
      <c r="D399" s="27" t="s">
        <v>588</v>
      </c>
      <c r="E399" s="27" t="s">
        <v>32</v>
      </c>
      <c r="F399" s="42" t="str" cm="1">
        <f t="array" ref="F399">_xlfn.IFS(E399="Bandung","BDG",E399="Surabaya","SBY",E399="Jakarta","JKT")</f>
        <v>JKT</v>
      </c>
      <c r="G399" s="27" t="s">
        <v>33</v>
      </c>
      <c r="H399" s="27" t="s">
        <v>51</v>
      </c>
      <c r="I399" s="27" t="s">
        <v>39</v>
      </c>
      <c r="J399" s="26">
        <v>43352</v>
      </c>
      <c r="K399" s="26">
        <v>43352</v>
      </c>
      <c r="L399" s="27">
        <f t="shared" si="38"/>
        <v>2</v>
      </c>
      <c r="M399" s="45">
        <v>16350.000000000002</v>
      </c>
      <c r="N399" s="45">
        <v>39000</v>
      </c>
      <c r="O399" s="27">
        <v>202</v>
      </c>
      <c r="P399" s="46">
        <f t="shared" si="39"/>
        <v>0.58076923076923082</v>
      </c>
      <c r="Q399" s="27">
        <v>8</v>
      </c>
      <c r="R399" s="44">
        <f t="shared" si="36"/>
        <v>312000</v>
      </c>
      <c r="S399" s="29">
        <v>0.04</v>
      </c>
      <c r="T399" s="44">
        <f t="shared" si="40"/>
        <v>299520</v>
      </c>
      <c r="U399" s="44">
        <f t="shared" si="41"/>
        <v>168720</v>
      </c>
      <c r="V399" s="44"/>
    </row>
    <row r="400" spans="1:22" ht="14.5" x14ac:dyDescent="0.35">
      <c r="A400" s="47" t="str">
        <f t="shared" si="37"/>
        <v>JKT-LP-E1028-2018</v>
      </c>
      <c r="B400" s="26">
        <v>43389</v>
      </c>
      <c r="C400" s="42">
        <v>2018</v>
      </c>
      <c r="D400" s="27" t="s">
        <v>588</v>
      </c>
      <c r="E400" s="27" t="s">
        <v>32</v>
      </c>
      <c r="F400" s="42" t="str" cm="1">
        <f t="array" ref="F400">_xlfn.IFS(E400="Bandung","BDG",E400="Surabaya","SBY",E400="Jakarta","JKT")</f>
        <v>JKT</v>
      </c>
      <c r="G400" s="27" t="s">
        <v>33</v>
      </c>
      <c r="H400" s="27" t="s">
        <v>198</v>
      </c>
      <c r="I400" s="27" t="s">
        <v>35</v>
      </c>
      <c r="J400" s="26" t="s">
        <v>1698</v>
      </c>
      <c r="K400" s="26">
        <v>43390</v>
      </c>
      <c r="L400" s="27">
        <f t="shared" si="38"/>
        <v>1</v>
      </c>
      <c r="M400" s="45">
        <v>41100</v>
      </c>
      <c r="N400" s="45">
        <v>67350</v>
      </c>
      <c r="O400" s="27">
        <v>65</v>
      </c>
      <c r="P400" s="46">
        <f t="shared" si="39"/>
        <v>0.38975501113585748</v>
      </c>
      <c r="Q400" s="27">
        <v>15</v>
      </c>
      <c r="R400" s="44">
        <f t="shared" si="36"/>
        <v>1010250</v>
      </c>
      <c r="S400" s="29">
        <v>0.05</v>
      </c>
      <c r="T400" s="44">
        <f t="shared" si="40"/>
        <v>959737.5</v>
      </c>
      <c r="U400" s="44">
        <f t="shared" si="41"/>
        <v>343237.5</v>
      </c>
      <c r="V400" s="44"/>
    </row>
    <row r="401" spans="1:22" ht="14.5" x14ac:dyDescent="0.35">
      <c r="A401" s="47" t="str">
        <f t="shared" si="37"/>
        <v>SBY-LU-E1033-2016</v>
      </c>
      <c r="B401" s="26">
        <v>42695</v>
      </c>
      <c r="C401" s="42">
        <v>2016</v>
      </c>
      <c r="D401" s="27" t="s">
        <v>237</v>
      </c>
      <c r="E401" s="27" t="s">
        <v>41</v>
      </c>
      <c r="F401" s="42" t="str" cm="1">
        <f t="array" ref="F401">_xlfn.IFS(E401="Bandung","BDG",E401="Surabaya","SBY",E401="Jakarta","JKT")</f>
        <v>SBY</v>
      </c>
      <c r="G401" s="27" t="s">
        <v>60</v>
      </c>
      <c r="H401" s="27" t="s">
        <v>45</v>
      </c>
      <c r="I401" s="27" t="s">
        <v>46</v>
      </c>
      <c r="J401" s="26" t="s">
        <v>1581</v>
      </c>
      <c r="K401" s="26">
        <v>42702</v>
      </c>
      <c r="L401" s="27">
        <f t="shared" si="38"/>
        <v>7</v>
      </c>
      <c r="M401" s="45">
        <v>1125000</v>
      </c>
      <c r="N401" s="45">
        <v>1814550</v>
      </c>
      <c r="O401" s="27">
        <v>35</v>
      </c>
      <c r="P401" s="46">
        <f t="shared" si="39"/>
        <v>0.38001157311730183</v>
      </c>
      <c r="Q401" s="27">
        <v>35</v>
      </c>
      <c r="R401" s="44">
        <f t="shared" si="36"/>
        <v>63509250</v>
      </c>
      <c r="S401" s="29">
        <v>0.08</v>
      </c>
      <c r="T401" s="44">
        <f t="shared" si="40"/>
        <v>58428510</v>
      </c>
      <c r="U401" s="44">
        <f t="shared" si="41"/>
        <v>19053510</v>
      </c>
      <c r="V401" s="44"/>
    </row>
    <row r="402" spans="1:22" ht="14.5" x14ac:dyDescent="0.35">
      <c r="A402" s="47" t="str">
        <f t="shared" si="37"/>
        <v>SBY-LU-E1033-2016</v>
      </c>
      <c r="B402" s="26">
        <v>42701</v>
      </c>
      <c r="C402" s="42">
        <v>2016</v>
      </c>
      <c r="D402" s="27" t="s">
        <v>237</v>
      </c>
      <c r="E402" s="27" t="s">
        <v>41</v>
      </c>
      <c r="F402" s="42" t="str" cm="1">
        <f t="array" ref="F402">_xlfn.IFS(E402="Bandung","BDG",E402="Surabaya","SBY",E402="Jakarta","JKT")</f>
        <v>SBY</v>
      </c>
      <c r="G402" s="27" t="s">
        <v>60</v>
      </c>
      <c r="H402" s="27" t="s">
        <v>202</v>
      </c>
      <c r="I402" s="27" t="s">
        <v>39</v>
      </c>
      <c r="J402" s="26">
        <v>42702</v>
      </c>
      <c r="K402" s="26">
        <v>42702</v>
      </c>
      <c r="L402" s="27">
        <f t="shared" si="38"/>
        <v>1</v>
      </c>
      <c r="M402" s="45">
        <v>19650</v>
      </c>
      <c r="N402" s="45">
        <v>42600</v>
      </c>
      <c r="O402" s="27">
        <v>135</v>
      </c>
      <c r="P402" s="46">
        <f t="shared" si="39"/>
        <v>0.53873239436619713</v>
      </c>
      <c r="Q402" s="27">
        <v>13</v>
      </c>
      <c r="R402" s="44">
        <f t="shared" si="36"/>
        <v>553800</v>
      </c>
      <c r="S402" s="29">
        <v>0.01</v>
      </c>
      <c r="T402" s="44">
        <f t="shared" si="40"/>
        <v>548262</v>
      </c>
      <c r="U402" s="44">
        <f t="shared" si="41"/>
        <v>292812</v>
      </c>
      <c r="V402" s="44"/>
    </row>
    <row r="403" spans="1:22" ht="14.5" x14ac:dyDescent="0.35">
      <c r="A403" s="47" t="str">
        <f t="shared" si="37"/>
        <v>SBY-LU-E1033-2017</v>
      </c>
      <c r="B403" s="26">
        <v>43086</v>
      </c>
      <c r="C403" s="42">
        <v>2017</v>
      </c>
      <c r="D403" s="27" t="s">
        <v>237</v>
      </c>
      <c r="E403" s="27" t="s">
        <v>41</v>
      </c>
      <c r="F403" s="42" t="str" cm="1">
        <f t="array" ref="F403">_xlfn.IFS(E403="Bandung","BDG",E403="Surabaya","SBY",E403="Jakarta","JKT")</f>
        <v>SBY</v>
      </c>
      <c r="G403" s="27" t="s">
        <v>60</v>
      </c>
      <c r="H403" s="27" t="s">
        <v>269</v>
      </c>
      <c r="I403" s="27" t="s">
        <v>73</v>
      </c>
      <c r="J403" s="26">
        <v>43087</v>
      </c>
      <c r="K403" s="26">
        <v>43087</v>
      </c>
      <c r="L403" s="27">
        <f t="shared" si="38"/>
        <v>1</v>
      </c>
      <c r="M403" s="45">
        <v>37500</v>
      </c>
      <c r="N403" s="45">
        <v>85200</v>
      </c>
      <c r="O403" s="27">
        <v>121</v>
      </c>
      <c r="P403" s="46">
        <f t="shared" si="39"/>
        <v>0.5598591549295775</v>
      </c>
      <c r="Q403" s="27">
        <v>23</v>
      </c>
      <c r="R403" s="44">
        <f t="shared" si="36"/>
        <v>1959600</v>
      </c>
      <c r="S403" s="29">
        <v>0.01</v>
      </c>
      <c r="T403" s="44">
        <f t="shared" si="40"/>
        <v>1940004</v>
      </c>
      <c r="U403" s="44">
        <f t="shared" si="41"/>
        <v>1077504</v>
      </c>
      <c r="V403" s="44"/>
    </row>
    <row r="404" spans="1:22" ht="14.5" x14ac:dyDescent="0.35">
      <c r="A404" s="47" t="str">
        <f t="shared" si="37"/>
        <v>BDG-LL-E1039-2016</v>
      </c>
      <c r="B404" s="26">
        <v>42623</v>
      </c>
      <c r="C404" s="42">
        <v>2016</v>
      </c>
      <c r="D404" s="27" t="s">
        <v>149</v>
      </c>
      <c r="E404" s="27" t="s">
        <v>136</v>
      </c>
      <c r="F404" s="42" t="str" cm="1">
        <f t="array" ref="F404">_xlfn.IFS(E404="Bandung","BDG",E404="Surabaya","SBY",E404="Jakarta","JKT")</f>
        <v>BDG</v>
      </c>
      <c r="G404" s="27" t="s">
        <v>103</v>
      </c>
      <c r="H404" s="27" t="s">
        <v>150</v>
      </c>
      <c r="I404" s="27" t="s">
        <v>35</v>
      </c>
      <c r="J404" s="26">
        <v>42652</v>
      </c>
      <c r="K404" s="26">
        <v>42623</v>
      </c>
      <c r="L404" s="27">
        <f t="shared" si="38"/>
        <v>0</v>
      </c>
      <c r="M404" s="45">
        <v>185850</v>
      </c>
      <c r="N404" s="45">
        <v>299700</v>
      </c>
      <c r="O404" s="27">
        <v>216</v>
      </c>
      <c r="P404" s="46">
        <f t="shared" si="39"/>
        <v>0.37987987987987987</v>
      </c>
      <c r="Q404" s="27">
        <v>13</v>
      </c>
      <c r="R404" s="44">
        <f t="shared" si="36"/>
        <v>3896100</v>
      </c>
      <c r="S404" s="29">
        <v>0.1</v>
      </c>
      <c r="T404" s="44">
        <f t="shared" si="40"/>
        <v>3506490</v>
      </c>
      <c r="U404" s="44">
        <f t="shared" si="41"/>
        <v>1090440</v>
      </c>
      <c r="V404" s="44"/>
    </row>
    <row r="405" spans="1:22" ht="14.5" x14ac:dyDescent="0.35">
      <c r="A405" s="47" t="str">
        <f t="shared" si="37"/>
        <v>BDG-LL-E1039-2017</v>
      </c>
      <c r="B405" s="26">
        <v>42999</v>
      </c>
      <c r="C405" s="42">
        <v>2017</v>
      </c>
      <c r="D405" s="27" t="s">
        <v>149</v>
      </c>
      <c r="E405" s="27" t="s">
        <v>136</v>
      </c>
      <c r="F405" s="42" t="str" cm="1">
        <f t="array" ref="F405">_xlfn.IFS(E405="Bandung","BDG",E405="Surabaya","SBY",E405="Jakarta","JKT")</f>
        <v>BDG</v>
      </c>
      <c r="G405" s="27" t="s">
        <v>103</v>
      </c>
      <c r="H405" s="27" t="s">
        <v>319</v>
      </c>
      <c r="I405" s="27" t="s">
        <v>73</v>
      </c>
      <c r="J405" s="26" t="s">
        <v>1632</v>
      </c>
      <c r="K405" s="26">
        <v>42999</v>
      </c>
      <c r="L405" s="27">
        <f t="shared" si="38"/>
        <v>0</v>
      </c>
      <c r="M405" s="45">
        <v>170700</v>
      </c>
      <c r="N405" s="45">
        <v>279750</v>
      </c>
      <c r="O405" s="27">
        <v>37</v>
      </c>
      <c r="P405" s="46">
        <f t="shared" si="39"/>
        <v>0.38981233243967828</v>
      </c>
      <c r="Q405" s="27">
        <v>18</v>
      </c>
      <c r="R405" s="44">
        <f t="shared" si="36"/>
        <v>5035500</v>
      </c>
      <c r="S405" s="29">
        <v>0.1</v>
      </c>
      <c r="T405" s="44">
        <f t="shared" si="40"/>
        <v>4531950</v>
      </c>
      <c r="U405" s="44">
        <f t="shared" si="41"/>
        <v>1459350</v>
      </c>
      <c r="V405" s="44"/>
    </row>
    <row r="406" spans="1:22" ht="14.5" x14ac:dyDescent="0.35">
      <c r="A406" s="47" t="str">
        <f t="shared" si="37"/>
        <v>BDG-LL-E1039-2018</v>
      </c>
      <c r="B406" s="26">
        <v>43305</v>
      </c>
      <c r="C406" s="42">
        <v>2018</v>
      </c>
      <c r="D406" s="27" t="s">
        <v>149</v>
      </c>
      <c r="E406" s="27" t="s">
        <v>136</v>
      </c>
      <c r="F406" s="42" t="str" cm="1">
        <f t="array" ref="F406">_xlfn.IFS(E406="Bandung","BDG",E406="Surabaya","SBY",E406="Jakarta","JKT")</f>
        <v>BDG</v>
      </c>
      <c r="G406" s="27" t="s">
        <v>103</v>
      </c>
      <c r="H406" s="27" t="s">
        <v>105</v>
      </c>
      <c r="I406" s="27" t="s">
        <v>35</v>
      </c>
      <c r="J406" s="26" t="s">
        <v>1680</v>
      </c>
      <c r="K406" s="26">
        <v>43306</v>
      </c>
      <c r="L406" s="27">
        <f t="shared" si="38"/>
        <v>1</v>
      </c>
      <c r="M406" s="45">
        <v>151050</v>
      </c>
      <c r="N406" s="45">
        <v>239700</v>
      </c>
      <c r="O406" s="27">
        <v>165</v>
      </c>
      <c r="P406" s="46">
        <f t="shared" si="39"/>
        <v>0.36983729662077597</v>
      </c>
      <c r="Q406" s="27">
        <v>40</v>
      </c>
      <c r="R406" s="44">
        <f t="shared" si="36"/>
        <v>9588000</v>
      </c>
      <c r="S406" s="29">
        <v>0.01</v>
      </c>
      <c r="T406" s="44">
        <f t="shared" si="40"/>
        <v>9492120</v>
      </c>
      <c r="U406" s="44">
        <f t="shared" si="41"/>
        <v>3450120</v>
      </c>
      <c r="V406" s="44"/>
    </row>
    <row r="407" spans="1:22" ht="14.5" x14ac:dyDescent="0.35">
      <c r="A407" s="47" t="str">
        <f t="shared" si="37"/>
        <v>BDG-LL-E1039-2020</v>
      </c>
      <c r="B407" s="26">
        <v>43907</v>
      </c>
      <c r="C407" s="42">
        <v>2020</v>
      </c>
      <c r="D407" s="27" t="s">
        <v>149</v>
      </c>
      <c r="E407" s="27" t="s">
        <v>136</v>
      </c>
      <c r="F407" s="42" t="str" cm="1">
        <f t="array" ref="F407">_xlfn.IFS(E407="Bandung","BDG",E407="Surabaya","SBY",E407="Jakarta","JKT")</f>
        <v>BDG</v>
      </c>
      <c r="G407" s="27" t="s">
        <v>103</v>
      </c>
      <c r="H407" s="27" t="s">
        <v>225</v>
      </c>
      <c r="I407" s="27" t="s">
        <v>35</v>
      </c>
      <c r="J407" s="26" t="s">
        <v>1780</v>
      </c>
      <c r="K407" s="26">
        <v>43909</v>
      </c>
      <c r="L407" s="27">
        <f t="shared" si="38"/>
        <v>2</v>
      </c>
      <c r="M407" s="45">
        <v>27600</v>
      </c>
      <c r="N407" s="45">
        <v>43200</v>
      </c>
      <c r="O407" s="27">
        <v>124</v>
      </c>
      <c r="P407" s="46">
        <f t="shared" si="39"/>
        <v>0.3611111111111111</v>
      </c>
      <c r="Q407" s="27">
        <v>40</v>
      </c>
      <c r="R407" s="44">
        <f t="shared" si="36"/>
        <v>1728000</v>
      </c>
      <c r="S407" s="29">
        <v>0</v>
      </c>
      <c r="T407" s="44">
        <f t="shared" si="40"/>
        <v>1728000</v>
      </c>
      <c r="U407" s="44">
        <f t="shared" si="41"/>
        <v>624000</v>
      </c>
      <c r="V407" s="44"/>
    </row>
    <row r="408" spans="1:22" ht="14.5" x14ac:dyDescent="0.35">
      <c r="A408" s="47" t="str">
        <f t="shared" si="37"/>
        <v>JKT-LS-E1029-2018</v>
      </c>
      <c r="B408" s="26">
        <v>43330</v>
      </c>
      <c r="C408" s="42">
        <v>2018</v>
      </c>
      <c r="D408" s="27" t="s">
        <v>582</v>
      </c>
      <c r="E408" s="27" t="s">
        <v>32</v>
      </c>
      <c r="F408" s="42" t="str" cm="1">
        <f t="array" ref="F408">_xlfn.IFS(E408="Bandung","BDG",E408="Surabaya","SBY",E408="Jakarta","JKT")</f>
        <v>JKT</v>
      </c>
      <c r="G408" s="27" t="s">
        <v>37</v>
      </c>
      <c r="H408" s="27" t="s">
        <v>123</v>
      </c>
      <c r="I408" s="27" t="s">
        <v>35</v>
      </c>
      <c r="J408" s="26" t="s">
        <v>1687</v>
      </c>
      <c r="K408" s="26">
        <v>43332</v>
      </c>
      <c r="L408" s="27">
        <f t="shared" si="38"/>
        <v>2</v>
      </c>
      <c r="M408" s="45">
        <v>208200</v>
      </c>
      <c r="N408" s="45">
        <v>335700</v>
      </c>
      <c r="O408" s="27">
        <v>319</v>
      </c>
      <c r="P408" s="46">
        <f t="shared" si="39"/>
        <v>0.37980339588918677</v>
      </c>
      <c r="Q408" s="27">
        <v>45</v>
      </c>
      <c r="R408" s="44">
        <f t="shared" si="36"/>
        <v>15106500</v>
      </c>
      <c r="S408" s="29">
        <v>0.05</v>
      </c>
      <c r="T408" s="44">
        <f t="shared" si="40"/>
        <v>14351175</v>
      </c>
      <c r="U408" s="44">
        <f t="shared" si="41"/>
        <v>4982175</v>
      </c>
      <c r="V408" s="44"/>
    </row>
    <row r="409" spans="1:22" ht="14.5" x14ac:dyDescent="0.35">
      <c r="A409" s="47" t="str">
        <f t="shared" si="37"/>
        <v>SBY-LS-E1039-2019</v>
      </c>
      <c r="B409" s="26">
        <v>43713</v>
      </c>
      <c r="C409" s="42">
        <v>2019</v>
      </c>
      <c r="D409" s="27" t="s">
        <v>688</v>
      </c>
      <c r="E409" s="27" t="s">
        <v>41</v>
      </c>
      <c r="F409" s="42" t="str" cm="1">
        <f t="array" ref="F409">_xlfn.IFS(E409="Bandung","BDG",E409="Surabaya","SBY",E409="Jakarta","JKT")</f>
        <v>SBY</v>
      </c>
      <c r="G409" s="27" t="s">
        <v>103</v>
      </c>
      <c r="H409" s="27" t="s">
        <v>38</v>
      </c>
      <c r="I409" s="27" t="s">
        <v>39</v>
      </c>
      <c r="J409" s="26">
        <v>43625</v>
      </c>
      <c r="K409" s="26">
        <v>43714</v>
      </c>
      <c r="L409" s="27">
        <f t="shared" si="38"/>
        <v>1</v>
      </c>
      <c r="M409" s="45">
        <v>35850</v>
      </c>
      <c r="N409" s="45">
        <v>63900</v>
      </c>
      <c r="O409" s="27">
        <v>123</v>
      </c>
      <c r="P409" s="46">
        <f t="shared" si="39"/>
        <v>0.43896713615023475</v>
      </c>
      <c r="Q409" s="27">
        <v>5</v>
      </c>
      <c r="R409" s="44">
        <f t="shared" si="36"/>
        <v>319500</v>
      </c>
      <c r="S409" s="29">
        <v>0.01</v>
      </c>
      <c r="T409" s="44">
        <f t="shared" si="40"/>
        <v>316305</v>
      </c>
      <c r="U409" s="44">
        <f t="shared" si="41"/>
        <v>137055</v>
      </c>
      <c r="V409" s="44"/>
    </row>
    <row r="410" spans="1:22" ht="14.5" x14ac:dyDescent="0.35">
      <c r="A410" s="47" t="str">
        <f t="shared" si="37"/>
        <v>SBY-LP-E1031-2018</v>
      </c>
      <c r="B410" s="26">
        <v>43121</v>
      </c>
      <c r="C410" s="42">
        <v>2018</v>
      </c>
      <c r="D410" s="27" t="s">
        <v>489</v>
      </c>
      <c r="E410" s="27" t="s">
        <v>41</v>
      </c>
      <c r="F410" s="42" t="str" cm="1">
        <f t="array" ref="F410">_xlfn.IFS(E410="Bandung","BDG",E410="Surabaya","SBY",E410="Jakarta","JKT")</f>
        <v>SBY</v>
      </c>
      <c r="G410" s="27" t="s">
        <v>48</v>
      </c>
      <c r="H410" s="27" t="s">
        <v>376</v>
      </c>
      <c r="I410" s="27" t="s">
        <v>73</v>
      </c>
      <c r="J410" s="26">
        <v>43121</v>
      </c>
      <c r="K410" s="26">
        <v>43121</v>
      </c>
      <c r="L410" s="27">
        <f t="shared" si="38"/>
        <v>0</v>
      </c>
      <c r="M410" s="45">
        <v>62850.000000000007</v>
      </c>
      <c r="N410" s="45">
        <v>153450</v>
      </c>
      <c r="O410" s="27">
        <v>189</v>
      </c>
      <c r="P410" s="46">
        <f t="shared" si="39"/>
        <v>0.59042033235581626</v>
      </c>
      <c r="Q410" s="27">
        <v>37</v>
      </c>
      <c r="R410" s="44">
        <f t="shared" si="36"/>
        <v>5677650</v>
      </c>
      <c r="S410" s="29">
        <v>0.08</v>
      </c>
      <c r="T410" s="44">
        <f t="shared" si="40"/>
        <v>5223438</v>
      </c>
      <c r="U410" s="44">
        <f t="shared" si="41"/>
        <v>2897987.9999999995</v>
      </c>
      <c r="V410" s="44"/>
    </row>
    <row r="411" spans="1:22" ht="14.5" x14ac:dyDescent="0.35">
      <c r="A411" s="47" t="str">
        <f t="shared" si="37"/>
        <v>JKT-LS-E1029-2018</v>
      </c>
      <c r="B411" s="26">
        <v>43319</v>
      </c>
      <c r="C411" s="42">
        <v>2018</v>
      </c>
      <c r="D411" s="27" t="s">
        <v>575</v>
      </c>
      <c r="E411" s="27" t="s">
        <v>32</v>
      </c>
      <c r="F411" s="42" t="str" cm="1">
        <f t="array" ref="F411">_xlfn.IFS(E411="Bandung","BDG",E411="Surabaya","SBY",E411="Jakarta","JKT")</f>
        <v>JKT</v>
      </c>
      <c r="G411" s="27" t="s">
        <v>37</v>
      </c>
      <c r="H411" s="27" t="s">
        <v>209</v>
      </c>
      <c r="I411" s="27" t="s">
        <v>236</v>
      </c>
      <c r="J411" s="26">
        <v>43351</v>
      </c>
      <c r="K411" s="26">
        <v>43321</v>
      </c>
      <c r="L411" s="27">
        <f t="shared" si="38"/>
        <v>2</v>
      </c>
      <c r="M411" s="45">
        <v>3240000</v>
      </c>
      <c r="N411" s="45">
        <v>6749850</v>
      </c>
      <c r="O411" s="27">
        <v>242</v>
      </c>
      <c r="P411" s="46">
        <f t="shared" si="39"/>
        <v>0.51998933309629103</v>
      </c>
      <c r="Q411" s="27">
        <v>2</v>
      </c>
      <c r="R411" s="44">
        <f t="shared" si="36"/>
        <v>13499700</v>
      </c>
      <c r="S411" s="29">
        <v>0.08</v>
      </c>
      <c r="T411" s="44">
        <f t="shared" si="40"/>
        <v>12419724</v>
      </c>
      <c r="U411" s="44">
        <f t="shared" si="41"/>
        <v>5939724</v>
      </c>
      <c r="V411" s="44"/>
    </row>
    <row r="412" spans="1:22" ht="14.5" x14ac:dyDescent="0.35">
      <c r="A412" s="47" t="str">
        <f t="shared" si="37"/>
        <v>JKT-LR-E1029-2018</v>
      </c>
      <c r="B412" s="26">
        <v>43259</v>
      </c>
      <c r="C412" s="42">
        <v>2018</v>
      </c>
      <c r="D412" s="27" t="s">
        <v>548</v>
      </c>
      <c r="E412" s="27" t="s">
        <v>32</v>
      </c>
      <c r="F412" s="42" t="str" cm="1">
        <f t="array" ref="F412">_xlfn.IFS(E412="Bandung","BDG",E412="Surabaya","SBY",E412="Jakarta","JKT")</f>
        <v>JKT</v>
      </c>
      <c r="G412" s="27" t="s">
        <v>37</v>
      </c>
      <c r="H412" s="27" t="s">
        <v>303</v>
      </c>
      <c r="I412" s="27" t="s">
        <v>35</v>
      </c>
      <c r="J412" s="26">
        <v>43318</v>
      </c>
      <c r="K412" s="26">
        <v>43259</v>
      </c>
      <c r="L412" s="27">
        <f t="shared" si="38"/>
        <v>0</v>
      </c>
      <c r="M412" s="45">
        <v>34350</v>
      </c>
      <c r="N412" s="45">
        <v>55350</v>
      </c>
      <c r="O412" s="27">
        <v>187</v>
      </c>
      <c r="P412" s="46">
        <f t="shared" si="39"/>
        <v>0.37940379403794039</v>
      </c>
      <c r="Q412" s="27">
        <v>12</v>
      </c>
      <c r="R412" s="44">
        <f t="shared" si="36"/>
        <v>664200</v>
      </c>
      <c r="S412" s="29">
        <v>0.02</v>
      </c>
      <c r="T412" s="44">
        <f t="shared" si="40"/>
        <v>650916</v>
      </c>
      <c r="U412" s="44">
        <f t="shared" si="41"/>
        <v>238716</v>
      </c>
      <c r="V412" s="44"/>
    </row>
    <row r="413" spans="1:22" ht="14.5" x14ac:dyDescent="0.35">
      <c r="A413" s="47" t="str">
        <f t="shared" si="37"/>
        <v>SBY-LT-E1030-2019</v>
      </c>
      <c r="B413" s="26">
        <v>43707</v>
      </c>
      <c r="C413" s="42">
        <v>2019</v>
      </c>
      <c r="D413" s="27" t="s">
        <v>684</v>
      </c>
      <c r="E413" s="27" t="s">
        <v>41</v>
      </c>
      <c r="F413" s="42" t="str" cm="1">
        <f t="array" ref="F413">_xlfn.IFS(E413="Bandung","BDG",E413="Surabaya","SBY",E413="Jakarta","JKT")</f>
        <v>SBY</v>
      </c>
      <c r="G413" s="27" t="s">
        <v>42</v>
      </c>
      <c r="H413" s="27" t="s">
        <v>201</v>
      </c>
      <c r="I413" s="27" t="s">
        <v>39</v>
      </c>
      <c r="J413" s="26">
        <v>43708</v>
      </c>
      <c r="K413" s="26">
        <v>43708</v>
      </c>
      <c r="L413" s="27">
        <f t="shared" si="38"/>
        <v>1</v>
      </c>
      <c r="M413" s="45">
        <v>58200</v>
      </c>
      <c r="N413" s="45">
        <v>97050</v>
      </c>
      <c r="O413" s="27">
        <v>45</v>
      </c>
      <c r="P413" s="46">
        <f t="shared" si="39"/>
        <v>0.40030911901081917</v>
      </c>
      <c r="Q413" s="27">
        <v>7</v>
      </c>
      <c r="R413" s="44">
        <f t="shared" si="36"/>
        <v>679350</v>
      </c>
      <c r="S413" s="29">
        <v>0.02</v>
      </c>
      <c r="T413" s="44">
        <f t="shared" si="40"/>
        <v>665763</v>
      </c>
      <c r="U413" s="44">
        <f t="shared" si="41"/>
        <v>258363</v>
      </c>
      <c r="V413" s="44"/>
    </row>
    <row r="414" spans="1:22" ht="14.5" x14ac:dyDescent="0.35">
      <c r="A414" s="47" t="str">
        <f t="shared" si="37"/>
        <v>SBY-LA-E1039-2017</v>
      </c>
      <c r="B414" s="26">
        <v>42961</v>
      </c>
      <c r="C414" s="42">
        <v>2017</v>
      </c>
      <c r="D414" s="27" t="s">
        <v>411</v>
      </c>
      <c r="E414" s="27" t="s">
        <v>41</v>
      </c>
      <c r="F414" s="42" t="str" cm="1">
        <f t="array" ref="F414">_xlfn.IFS(E414="Bandung","BDG",E414="Surabaya","SBY",E414="Jakarta","JKT")</f>
        <v>SBY</v>
      </c>
      <c r="G414" s="27" t="s">
        <v>103</v>
      </c>
      <c r="H414" s="27" t="s">
        <v>396</v>
      </c>
      <c r="I414" s="27" t="s">
        <v>35</v>
      </c>
      <c r="J414" s="26" t="s">
        <v>1619</v>
      </c>
      <c r="K414" s="26">
        <v>42962</v>
      </c>
      <c r="L414" s="27">
        <f t="shared" si="38"/>
        <v>1</v>
      </c>
      <c r="M414" s="45">
        <v>106950</v>
      </c>
      <c r="N414" s="45">
        <v>314700</v>
      </c>
      <c r="O414" s="27">
        <v>14</v>
      </c>
      <c r="P414" s="46">
        <f t="shared" si="39"/>
        <v>0.66015252621544329</v>
      </c>
      <c r="Q414" s="27">
        <v>14</v>
      </c>
      <c r="R414" s="44">
        <f t="shared" si="36"/>
        <v>4405800</v>
      </c>
      <c r="S414" s="29">
        <v>0.1</v>
      </c>
      <c r="T414" s="44">
        <f t="shared" si="40"/>
        <v>3965220</v>
      </c>
      <c r="U414" s="44">
        <f t="shared" si="41"/>
        <v>2467920</v>
      </c>
      <c r="V414" s="44"/>
    </row>
    <row r="415" spans="1:22" ht="14.5" x14ac:dyDescent="0.35">
      <c r="A415" s="47" t="str">
        <f t="shared" si="37"/>
        <v>BDG-LS-E1036-2018</v>
      </c>
      <c r="B415" s="26">
        <v>43109</v>
      </c>
      <c r="C415" s="42">
        <v>2018</v>
      </c>
      <c r="D415" s="27" t="s">
        <v>484</v>
      </c>
      <c r="E415" s="27" t="s">
        <v>136</v>
      </c>
      <c r="F415" s="42" t="str" cm="1">
        <f t="array" ref="F415">_xlfn.IFS(E415="Bandung","BDG",E415="Surabaya","SBY",E415="Jakarta","JKT")</f>
        <v>BDG</v>
      </c>
      <c r="G415" s="27" t="s">
        <v>78</v>
      </c>
      <c r="H415" s="27" t="s">
        <v>89</v>
      </c>
      <c r="I415" s="27" t="s">
        <v>73</v>
      </c>
      <c r="J415" s="26">
        <v>43114</v>
      </c>
      <c r="K415" s="26">
        <v>43114</v>
      </c>
      <c r="L415" s="27">
        <f t="shared" si="38"/>
        <v>5</v>
      </c>
      <c r="M415" s="45">
        <v>14100</v>
      </c>
      <c r="N415" s="45">
        <v>31200</v>
      </c>
      <c r="O415" s="27">
        <v>148</v>
      </c>
      <c r="P415" s="46">
        <f t="shared" si="39"/>
        <v>0.54807692307692313</v>
      </c>
      <c r="Q415" s="27">
        <v>36</v>
      </c>
      <c r="R415" s="44">
        <f t="shared" si="36"/>
        <v>1123200</v>
      </c>
      <c r="S415" s="29">
        <v>0.01</v>
      </c>
      <c r="T415" s="44">
        <f t="shared" si="40"/>
        <v>1111968</v>
      </c>
      <c r="U415" s="44">
        <f t="shared" si="41"/>
        <v>604368</v>
      </c>
      <c r="V415" s="44"/>
    </row>
    <row r="416" spans="1:22" ht="14.5" x14ac:dyDescent="0.35">
      <c r="A416" s="47" t="str">
        <f t="shared" si="37"/>
        <v>BDG-LS-E1036-2019</v>
      </c>
      <c r="B416" s="26">
        <v>43683</v>
      </c>
      <c r="C416" s="42">
        <v>2019</v>
      </c>
      <c r="D416" s="27" t="s">
        <v>484</v>
      </c>
      <c r="E416" s="27" t="s">
        <v>136</v>
      </c>
      <c r="F416" s="42" t="str" cm="1">
        <f t="array" ref="F416">_xlfn.IFS(E416="Bandung","BDG",E416="Surabaya","SBY",E416="Jakarta","JKT")</f>
        <v>BDG</v>
      </c>
      <c r="G416" s="27" t="s">
        <v>78</v>
      </c>
      <c r="H416" s="27" t="s">
        <v>204</v>
      </c>
      <c r="I416" s="27" t="s">
        <v>39</v>
      </c>
      <c r="J416" s="26">
        <v>43654</v>
      </c>
      <c r="K416" s="26">
        <v>43684</v>
      </c>
      <c r="L416" s="27">
        <f t="shared" si="38"/>
        <v>1</v>
      </c>
      <c r="M416" s="45">
        <v>3600</v>
      </c>
      <c r="N416" s="45">
        <v>18900</v>
      </c>
      <c r="O416" s="27">
        <v>314</v>
      </c>
      <c r="P416" s="46">
        <f t="shared" si="39"/>
        <v>0.80952380952380953</v>
      </c>
      <c r="Q416" s="27">
        <v>11</v>
      </c>
      <c r="R416" s="44">
        <f t="shared" si="36"/>
        <v>207900</v>
      </c>
      <c r="S416" s="29">
        <v>0</v>
      </c>
      <c r="T416" s="44">
        <f t="shared" si="40"/>
        <v>207900</v>
      </c>
      <c r="U416" s="44">
        <f t="shared" si="41"/>
        <v>168300</v>
      </c>
      <c r="V416" s="44"/>
    </row>
    <row r="417" spans="1:22" ht="14.5" x14ac:dyDescent="0.35">
      <c r="A417" s="47" t="str">
        <f t="shared" si="37"/>
        <v>BDG-LS-E1036-2019</v>
      </c>
      <c r="B417" s="26">
        <v>43746</v>
      </c>
      <c r="C417" s="42">
        <v>2019</v>
      </c>
      <c r="D417" s="27" t="s">
        <v>484</v>
      </c>
      <c r="E417" s="27" t="s">
        <v>136</v>
      </c>
      <c r="F417" s="42" t="str" cm="1">
        <f t="array" ref="F417">_xlfn.IFS(E417="Bandung","BDG",E417="Surabaya","SBY",E417="Jakarta","JKT")</f>
        <v>BDG</v>
      </c>
      <c r="G417" s="27" t="s">
        <v>78</v>
      </c>
      <c r="H417" s="27" t="s">
        <v>174</v>
      </c>
      <c r="I417" s="27" t="s">
        <v>39</v>
      </c>
      <c r="J417" s="26">
        <v>43748</v>
      </c>
      <c r="K417" s="26">
        <v>43748</v>
      </c>
      <c r="L417" s="27">
        <f t="shared" si="38"/>
        <v>2</v>
      </c>
      <c r="M417" s="45">
        <v>43500</v>
      </c>
      <c r="N417" s="45">
        <v>71400</v>
      </c>
      <c r="O417" s="27">
        <v>119</v>
      </c>
      <c r="P417" s="46">
        <f t="shared" si="39"/>
        <v>0.3907563025210084</v>
      </c>
      <c r="Q417" s="27">
        <v>5</v>
      </c>
      <c r="R417" s="44">
        <f t="shared" si="36"/>
        <v>357000</v>
      </c>
      <c r="S417" s="29">
        <v>0.09</v>
      </c>
      <c r="T417" s="44">
        <f t="shared" si="40"/>
        <v>324870</v>
      </c>
      <c r="U417" s="44">
        <f t="shared" si="41"/>
        <v>107370</v>
      </c>
      <c r="V417" s="44"/>
    </row>
    <row r="418" spans="1:22" ht="14.5" x14ac:dyDescent="0.35">
      <c r="A418" s="47" t="str">
        <f t="shared" si="37"/>
        <v>BDG-LS-E1036-2020</v>
      </c>
      <c r="B418" s="26">
        <v>43914</v>
      </c>
      <c r="C418" s="42">
        <v>2020</v>
      </c>
      <c r="D418" s="27" t="s">
        <v>484</v>
      </c>
      <c r="E418" s="27" t="s">
        <v>136</v>
      </c>
      <c r="F418" s="42" t="str" cm="1">
        <f t="array" ref="F418">_xlfn.IFS(E418="Bandung","BDG",E418="Surabaya","SBY",E418="Jakarta","JKT")</f>
        <v>BDG</v>
      </c>
      <c r="G418" s="27" t="s">
        <v>78</v>
      </c>
      <c r="H418" s="27" t="s">
        <v>204</v>
      </c>
      <c r="I418" s="27" t="s">
        <v>39</v>
      </c>
      <c r="J418" s="26">
        <v>43916</v>
      </c>
      <c r="K418" s="26">
        <v>43916</v>
      </c>
      <c r="L418" s="27">
        <f t="shared" si="38"/>
        <v>2</v>
      </c>
      <c r="M418" s="45">
        <v>3600</v>
      </c>
      <c r="N418" s="45">
        <v>18900</v>
      </c>
      <c r="O418" s="27">
        <v>303</v>
      </c>
      <c r="P418" s="46">
        <f t="shared" si="39"/>
        <v>0.80952380952380953</v>
      </c>
      <c r="Q418" s="27">
        <v>37</v>
      </c>
      <c r="R418" s="44">
        <f t="shared" si="36"/>
        <v>699300</v>
      </c>
      <c r="S418" s="29">
        <v>0.03</v>
      </c>
      <c r="T418" s="44">
        <f t="shared" si="40"/>
        <v>678321</v>
      </c>
      <c r="U418" s="44">
        <f t="shared" si="41"/>
        <v>545121</v>
      </c>
      <c r="V418" s="44"/>
    </row>
    <row r="419" spans="1:22" ht="14.5" x14ac:dyDescent="0.35">
      <c r="A419" s="47" t="str">
        <f t="shared" si="37"/>
        <v>SBY-LN-E1038-2016</v>
      </c>
      <c r="B419" s="26">
        <v>42708</v>
      </c>
      <c r="C419" s="42">
        <v>2016</v>
      </c>
      <c r="D419" s="27" t="s">
        <v>249</v>
      </c>
      <c r="E419" s="27" t="s">
        <v>41</v>
      </c>
      <c r="F419" s="42" t="str" cm="1">
        <f t="array" ref="F419">_xlfn.IFS(E419="Bandung","BDG",E419="Surabaya","SBY",E419="Jakarta","JKT")</f>
        <v>SBY</v>
      </c>
      <c r="G419" s="27" t="s">
        <v>98</v>
      </c>
      <c r="H419" s="27" t="s">
        <v>243</v>
      </c>
      <c r="I419" s="27" t="s">
        <v>35</v>
      </c>
      <c r="J419" s="26">
        <v>42710</v>
      </c>
      <c r="K419" s="26">
        <v>42533</v>
      </c>
      <c r="L419" s="27">
        <f t="shared" si="38"/>
        <v>-175</v>
      </c>
      <c r="M419" s="45">
        <v>1015950.0000000001</v>
      </c>
      <c r="N419" s="45">
        <v>2478000</v>
      </c>
      <c r="O419" s="27">
        <v>171</v>
      </c>
      <c r="P419" s="46">
        <f t="shared" si="39"/>
        <v>0.59001210653753022</v>
      </c>
      <c r="Q419" s="27">
        <v>23</v>
      </c>
      <c r="R419" s="44">
        <f t="shared" si="36"/>
        <v>56994000</v>
      </c>
      <c r="S419" s="29">
        <v>7.0000000000000007E-2</v>
      </c>
      <c r="T419" s="44">
        <f t="shared" si="40"/>
        <v>53004420</v>
      </c>
      <c r="U419" s="44">
        <f t="shared" si="41"/>
        <v>29637569.999999996</v>
      </c>
      <c r="V419" s="44"/>
    </row>
    <row r="420" spans="1:22" ht="14.5" x14ac:dyDescent="0.35">
      <c r="A420" s="47" t="str">
        <f t="shared" si="37"/>
        <v>SBY-LN-E1032-2016</v>
      </c>
      <c r="B420" s="26">
        <v>42726</v>
      </c>
      <c r="C420" s="42">
        <v>2016</v>
      </c>
      <c r="D420" s="27" t="s">
        <v>262</v>
      </c>
      <c r="E420" s="27" t="s">
        <v>41</v>
      </c>
      <c r="F420" s="42" t="str" cm="1">
        <f t="array" ref="F420">_xlfn.IFS(E420="Bandung","BDG",E420="Surabaya","SBY",E420="Jakarta","JKT")</f>
        <v>SBY</v>
      </c>
      <c r="G420" s="27" t="s">
        <v>53</v>
      </c>
      <c r="H420" s="27" t="s">
        <v>221</v>
      </c>
      <c r="I420" s="27" t="s">
        <v>35</v>
      </c>
      <c r="J420" s="26" t="s">
        <v>1585</v>
      </c>
      <c r="K420" s="26">
        <v>42727</v>
      </c>
      <c r="L420" s="27">
        <f t="shared" si="38"/>
        <v>1</v>
      </c>
      <c r="M420" s="45">
        <v>29100</v>
      </c>
      <c r="N420" s="45">
        <v>46200</v>
      </c>
      <c r="O420" s="27">
        <v>241</v>
      </c>
      <c r="P420" s="46">
        <f t="shared" si="39"/>
        <v>0.37012987012987014</v>
      </c>
      <c r="Q420" s="27">
        <v>24</v>
      </c>
      <c r="R420" s="44">
        <f t="shared" si="36"/>
        <v>1108800</v>
      </c>
      <c r="S420" s="29">
        <v>0.04</v>
      </c>
      <c r="T420" s="44">
        <f t="shared" si="40"/>
        <v>1064448</v>
      </c>
      <c r="U420" s="44">
        <f t="shared" si="41"/>
        <v>366048</v>
      </c>
      <c r="V420" s="44"/>
    </row>
    <row r="421" spans="1:22" ht="14.5" x14ac:dyDescent="0.35">
      <c r="A421" s="47" t="str">
        <f t="shared" si="37"/>
        <v>SBY-LN-E1032-2017</v>
      </c>
      <c r="B421" s="26">
        <v>42793</v>
      </c>
      <c r="C421" s="42">
        <v>2017</v>
      </c>
      <c r="D421" s="27" t="s">
        <v>262</v>
      </c>
      <c r="E421" s="27" t="s">
        <v>41</v>
      </c>
      <c r="F421" s="42" t="str" cm="1">
        <f t="array" ref="F421">_xlfn.IFS(E421="Bandung","BDG",E421="Surabaya","SBY",E421="Jakarta","JKT")</f>
        <v>SBY</v>
      </c>
      <c r="G421" s="27" t="s">
        <v>53</v>
      </c>
      <c r="H421" s="27" t="s">
        <v>150</v>
      </c>
      <c r="I421" s="27" t="s">
        <v>35</v>
      </c>
      <c r="J421" s="26">
        <v>42738</v>
      </c>
      <c r="K421" s="26">
        <v>42795</v>
      </c>
      <c r="L421" s="27">
        <f t="shared" si="38"/>
        <v>2</v>
      </c>
      <c r="M421" s="45">
        <v>185850</v>
      </c>
      <c r="N421" s="45">
        <v>299700</v>
      </c>
      <c r="O421" s="27">
        <v>203</v>
      </c>
      <c r="P421" s="46">
        <f t="shared" si="39"/>
        <v>0.37987987987987987</v>
      </c>
      <c r="Q421" s="27">
        <v>47</v>
      </c>
      <c r="R421" s="44">
        <f t="shared" si="36"/>
        <v>14085900</v>
      </c>
      <c r="S421" s="29">
        <v>0.04</v>
      </c>
      <c r="T421" s="44">
        <f t="shared" si="40"/>
        <v>13522464</v>
      </c>
      <c r="U421" s="44">
        <f t="shared" si="41"/>
        <v>4787514</v>
      </c>
      <c r="V421" s="44"/>
    </row>
    <row r="422" spans="1:22" ht="14.5" x14ac:dyDescent="0.35">
      <c r="A422" s="47" t="str">
        <f t="shared" si="37"/>
        <v>SBY-LN-E1032-2018</v>
      </c>
      <c r="B422" s="26">
        <v>43116</v>
      </c>
      <c r="C422" s="42">
        <v>2018</v>
      </c>
      <c r="D422" s="27" t="s">
        <v>262</v>
      </c>
      <c r="E422" s="27" t="s">
        <v>41</v>
      </c>
      <c r="F422" s="42" t="str" cm="1">
        <f t="array" ref="F422">_xlfn.IFS(E422="Bandung","BDG",E422="Surabaya","SBY",E422="Jakarta","JKT")</f>
        <v>SBY</v>
      </c>
      <c r="G422" s="27" t="s">
        <v>53</v>
      </c>
      <c r="H422" s="27" t="s">
        <v>198</v>
      </c>
      <c r="I422" s="27" t="s">
        <v>35</v>
      </c>
      <c r="J422" s="26">
        <v>43123</v>
      </c>
      <c r="K422" s="26">
        <v>43123</v>
      </c>
      <c r="L422" s="27">
        <f t="shared" si="38"/>
        <v>7</v>
      </c>
      <c r="M422" s="45">
        <v>41100</v>
      </c>
      <c r="N422" s="45">
        <v>67350</v>
      </c>
      <c r="O422" s="27">
        <v>50</v>
      </c>
      <c r="P422" s="46">
        <f t="shared" si="39"/>
        <v>0.38975501113585748</v>
      </c>
      <c r="Q422" s="27">
        <v>44</v>
      </c>
      <c r="R422" s="44">
        <f t="shared" si="36"/>
        <v>2963400</v>
      </c>
      <c r="S422" s="29">
        <v>0.03</v>
      </c>
      <c r="T422" s="44">
        <f t="shared" si="40"/>
        <v>2874498</v>
      </c>
      <c r="U422" s="44">
        <f t="shared" si="41"/>
        <v>1066098</v>
      </c>
      <c r="V422" s="44"/>
    </row>
    <row r="423" spans="1:22" ht="14.5" x14ac:dyDescent="0.35">
      <c r="A423" s="47" t="str">
        <f t="shared" si="37"/>
        <v>SBY-LY-E1034-2019</v>
      </c>
      <c r="B423" s="26">
        <v>43588</v>
      </c>
      <c r="C423" s="42">
        <v>2019</v>
      </c>
      <c r="D423" s="27" t="s">
        <v>650</v>
      </c>
      <c r="E423" s="27" t="s">
        <v>41</v>
      </c>
      <c r="F423" s="42" t="str" cm="1">
        <f t="array" ref="F423">_xlfn.IFS(E423="Bandung","BDG",E423="Surabaya","SBY",E423="Jakarta","JKT")</f>
        <v>SBY</v>
      </c>
      <c r="G423" s="27" t="s">
        <v>65</v>
      </c>
      <c r="H423" s="27" t="s">
        <v>89</v>
      </c>
      <c r="I423" s="27" t="s">
        <v>73</v>
      </c>
      <c r="J423" s="26">
        <v>43588</v>
      </c>
      <c r="K423" s="26">
        <v>43529</v>
      </c>
      <c r="L423" s="27">
        <f t="shared" si="38"/>
        <v>-59</v>
      </c>
      <c r="M423" s="45">
        <v>14100</v>
      </c>
      <c r="N423" s="45">
        <v>31200</v>
      </c>
      <c r="O423" s="27">
        <v>112</v>
      </c>
      <c r="P423" s="46">
        <f t="shared" si="39"/>
        <v>0.54807692307692313</v>
      </c>
      <c r="Q423" s="27">
        <v>33</v>
      </c>
      <c r="R423" s="44">
        <f t="shared" si="36"/>
        <v>1029600</v>
      </c>
      <c r="S423" s="29">
        <v>0.05</v>
      </c>
      <c r="T423" s="44">
        <f t="shared" si="40"/>
        <v>978120</v>
      </c>
      <c r="U423" s="44">
        <f t="shared" si="41"/>
        <v>512820</v>
      </c>
      <c r="V423" s="44"/>
    </row>
    <row r="424" spans="1:22" ht="14.5" x14ac:dyDescent="0.35">
      <c r="A424" s="47" t="str">
        <f t="shared" si="37"/>
        <v>JKT-LL-E1028-2018</v>
      </c>
      <c r="B424" s="26">
        <v>43131</v>
      </c>
      <c r="C424" s="42">
        <v>2018</v>
      </c>
      <c r="D424" s="27" t="s">
        <v>494</v>
      </c>
      <c r="E424" s="27" t="s">
        <v>32</v>
      </c>
      <c r="F424" s="42" t="str" cm="1">
        <f t="array" ref="F424">_xlfn.IFS(E424="Bandung","BDG",E424="Surabaya","SBY",E424="Jakarta","JKT")</f>
        <v>JKT</v>
      </c>
      <c r="G424" s="27" t="s">
        <v>33</v>
      </c>
      <c r="H424" s="27" t="s">
        <v>216</v>
      </c>
      <c r="I424" s="27" t="s">
        <v>35</v>
      </c>
      <c r="J424" s="26">
        <v>43102</v>
      </c>
      <c r="K424" s="26">
        <v>43132</v>
      </c>
      <c r="L424" s="27">
        <f t="shared" si="38"/>
        <v>1</v>
      </c>
      <c r="M424" s="45">
        <v>66900</v>
      </c>
      <c r="N424" s="45">
        <v>163350</v>
      </c>
      <c r="O424" s="27">
        <v>195</v>
      </c>
      <c r="P424" s="46">
        <f t="shared" si="39"/>
        <v>0.59044995408631773</v>
      </c>
      <c r="Q424" s="27">
        <v>4</v>
      </c>
      <c r="R424" s="44">
        <f t="shared" si="36"/>
        <v>653400</v>
      </c>
      <c r="S424" s="29">
        <v>0.05</v>
      </c>
      <c r="T424" s="44">
        <f t="shared" si="40"/>
        <v>620730</v>
      </c>
      <c r="U424" s="44">
        <f t="shared" si="41"/>
        <v>353130</v>
      </c>
      <c r="V424" s="44"/>
    </row>
    <row r="425" spans="1:22" ht="14.5" x14ac:dyDescent="0.35">
      <c r="A425" s="47" t="str">
        <f t="shared" si="37"/>
        <v>JKT-LL-E1028-2018</v>
      </c>
      <c r="B425" s="26">
        <v>43211</v>
      </c>
      <c r="C425" s="42">
        <v>2018</v>
      </c>
      <c r="D425" s="27" t="s">
        <v>494</v>
      </c>
      <c r="E425" s="27" t="s">
        <v>32</v>
      </c>
      <c r="F425" s="42" t="str" cm="1">
        <f t="array" ref="F425">_xlfn.IFS(E425="Bandung","BDG",E425="Surabaya","SBY",E425="Jakarta","JKT")</f>
        <v>JKT</v>
      </c>
      <c r="G425" s="27" t="s">
        <v>33</v>
      </c>
      <c r="H425" s="27" t="s">
        <v>61</v>
      </c>
      <c r="I425" s="27" t="s">
        <v>35</v>
      </c>
      <c r="J425" s="26">
        <v>43213</v>
      </c>
      <c r="K425" s="26">
        <v>43213</v>
      </c>
      <c r="L425" s="27">
        <f t="shared" si="38"/>
        <v>2</v>
      </c>
      <c r="M425" s="45">
        <v>79950</v>
      </c>
      <c r="N425" s="45">
        <v>129000</v>
      </c>
      <c r="O425" s="27">
        <v>171</v>
      </c>
      <c r="P425" s="46">
        <f t="shared" si="39"/>
        <v>0.38023255813953488</v>
      </c>
      <c r="Q425" s="27">
        <v>48</v>
      </c>
      <c r="R425" s="44">
        <f t="shared" si="36"/>
        <v>6192000</v>
      </c>
      <c r="S425" s="29">
        <v>0.02</v>
      </c>
      <c r="T425" s="44">
        <f t="shared" si="40"/>
        <v>6068160</v>
      </c>
      <c r="U425" s="44">
        <f t="shared" si="41"/>
        <v>2230560</v>
      </c>
      <c r="V425" s="44"/>
    </row>
    <row r="426" spans="1:22" ht="14.5" x14ac:dyDescent="0.35">
      <c r="A426" s="47" t="str">
        <f t="shared" si="37"/>
        <v>JKT-LL-E1028-2020</v>
      </c>
      <c r="B426" s="26">
        <v>43858</v>
      </c>
      <c r="C426" s="42">
        <v>2020</v>
      </c>
      <c r="D426" s="27" t="s">
        <v>494</v>
      </c>
      <c r="E426" s="27" t="s">
        <v>32</v>
      </c>
      <c r="F426" s="42" t="str" cm="1">
        <f t="array" ref="F426">_xlfn.IFS(E426="Bandung","BDG",E426="Surabaya","SBY",E426="Jakarta","JKT")</f>
        <v>JKT</v>
      </c>
      <c r="G426" s="27" t="s">
        <v>33</v>
      </c>
      <c r="H426" s="27" t="s">
        <v>247</v>
      </c>
      <c r="I426" s="27" t="s">
        <v>236</v>
      </c>
      <c r="J426" s="26">
        <v>43858</v>
      </c>
      <c r="K426" s="26">
        <v>43858</v>
      </c>
      <c r="L426" s="27">
        <f t="shared" si="38"/>
        <v>0</v>
      </c>
      <c r="M426" s="45">
        <v>842400</v>
      </c>
      <c r="N426" s="45">
        <v>2054699.9999999998</v>
      </c>
      <c r="O426" s="27">
        <v>99</v>
      </c>
      <c r="P426" s="46">
        <f t="shared" si="39"/>
        <v>0.59001314060446775</v>
      </c>
      <c r="Q426" s="27">
        <v>27</v>
      </c>
      <c r="R426" s="44">
        <f t="shared" si="36"/>
        <v>55476899.999999993</v>
      </c>
      <c r="S426" s="29">
        <v>0.09</v>
      </c>
      <c r="T426" s="44">
        <f t="shared" si="40"/>
        <v>50483978.999999993</v>
      </c>
      <c r="U426" s="44">
        <f t="shared" si="41"/>
        <v>27739178.999999993</v>
      </c>
      <c r="V426" s="44"/>
    </row>
    <row r="427" spans="1:22" ht="14.5" x14ac:dyDescent="0.35">
      <c r="A427" s="47" t="str">
        <f t="shared" si="37"/>
        <v>SBY-LH-E1033-2019</v>
      </c>
      <c r="B427" s="26">
        <v>43501</v>
      </c>
      <c r="C427" s="42">
        <v>2019</v>
      </c>
      <c r="D427" s="27" t="s">
        <v>637</v>
      </c>
      <c r="E427" s="27" t="s">
        <v>41</v>
      </c>
      <c r="F427" s="42" t="str" cm="1">
        <f t="array" ref="F427">_xlfn.IFS(E427="Bandung","BDG",E427="Surabaya","SBY",E427="Jakarta","JKT")</f>
        <v>SBY</v>
      </c>
      <c r="G427" s="27" t="s">
        <v>60</v>
      </c>
      <c r="H427" s="27" t="s">
        <v>148</v>
      </c>
      <c r="I427" s="27" t="s">
        <v>35</v>
      </c>
      <c r="J427" s="26">
        <v>43648</v>
      </c>
      <c r="K427" s="26">
        <v>43503</v>
      </c>
      <c r="L427" s="27">
        <f t="shared" si="38"/>
        <v>2</v>
      </c>
      <c r="M427" s="45">
        <v>33750</v>
      </c>
      <c r="N427" s="45">
        <v>55350</v>
      </c>
      <c r="O427" s="27">
        <v>204</v>
      </c>
      <c r="P427" s="46">
        <f t="shared" si="39"/>
        <v>0.3902439024390244</v>
      </c>
      <c r="Q427" s="27">
        <v>47</v>
      </c>
      <c r="R427" s="44">
        <f t="shared" si="36"/>
        <v>2601450</v>
      </c>
      <c r="S427" s="29">
        <v>0</v>
      </c>
      <c r="T427" s="44">
        <f t="shared" si="40"/>
        <v>2601450</v>
      </c>
      <c r="U427" s="44">
        <f t="shared" si="41"/>
        <v>1015200</v>
      </c>
      <c r="V427" s="44"/>
    </row>
    <row r="428" spans="1:22" ht="14.5" x14ac:dyDescent="0.35">
      <c r="A428" s="47" t="str">
        <f t="shared" si="37"/>
        <v>SBY-LH-E1033-2019</v>
      </c>
      <c r="B428" s="26">
        <v>43525</v>
      </c>
      <c r="C428" s="42">
        <v>2019</v>
      </c>
      <c r="D428" s="27" t="s">
        <v>637</v>
      </c>
      <c r="E428" s="27" t="s">
        <v>41</v>
      </c>
      <c r="F428" s="42" t="str" cm="1">
        <f t="array" ref="F428">_xlfn.IFS(E428="Bandung","BDG",E428="Surabaya","SBY",E428="Jakarta","JKT")</f>
        <v>SBY</v>
      </c>
      <c r="G428" s="27" t="s">
        <v>60</v>
      </c>
      <c r="H428" s="27" t="s">
        <v>216</v>
      </c>
      <c r="I428" s="27" t="s">
        <v>35</v>
      </c>
      <c r="J428" s="26">
        <v>43680</v>
      </c>
      <c r="K428" s="26">
        <v>43532</v>
      </c>
      <c r="L428" s="27">
        <f t="shared" si="38"/>
        <v>7</v>
      </c>
      <c r="M428" s="45">
        <v>66900</v>
      </c>
      <c r="N428" s="45">
        <v>163350</v>
      </c>
      <c r="O428" s="27">
        <v>191</v>
      </c>
      <c r="P428" s="46">
        <f t="shared" si="39"/>
        <v>0.59044995408631773</v>
      </c>
      <c r="Q428" s="27">
        <v>10</v>
      </c>
      <c r="R428" s="44">
        <f t="shared" si="36"/>
        <v>1633500</v>
      </c>
      <c r="S428" s="29">
        <v>0.1</v>
      </c>
      <c r="T428" s="44">
        <f t="shared" si="40"/>
        <v>1470150</v>
      </c>
      <c r="U428" s="44">
        <f t="shared" si="41"/>
        <v>801150</v>
      </c>
      <c r="V428" s="44"/>
    </row>
    <row r="429" spans="1:22" ht="14.5" x14ac:dyDescent="0.35">
      <c r="A429" s="47" t="str">
        <f t="shared" si="37"/>
        <v>SBY-LY-E1031-2016</v>
      </c>
      <c r="B429" s="26">
        <v>42556</v>
      </c>
      <c r="C429" s="42">
        <v>2016</v>
      </c>
      <c r="D429" s="27" t="s">
        <v>80</v>
      </c>
      <c r="E429" s="27" t="s">
        <v>41</v>
      </c>
      <c r="F429" s="42" t="str" cm="1">
        <f t="array" ref="F429">_xlfn.IFS(E429="Bandung","BDG",E429="Surabaya","SBY",E429="Jakarta","JKT")</f>
        <v>SBY</v>
      </c>
      <c r="G429" s="27" t="s">
        <v>48</v>
      </c>
      <c r="H429" s="27" t="s">
        <v>81</v>
      </c>
      <c r="I429" s="27" t="s">
        <v>39</v>
      </c>
      <c r="J429" s="26">
        <v>42559</v>
      </c>
      <c r="K429" s="26">
        <v>42589</v>
      </c>
      <c r="L429" s="27">
        <f t="shared" si="38"/>
        <v>33</v>
      </c>
      <c r="M429" s="45">
        <v>27300</v>
      </c>
      <c r="N429" s="45">
        <v>44700</v>
      </c>
      <c r="O429" s="27">
        <v>70</v>
      </c>
      <c r="P429" s="46">
        <f t="shared" si="39"/>
        <v>0.38926174496644295</v>
      </c>
      <c r="Q429" s="27">
        <v>22</v>
      </c>
      <c r="R429" s="44">
        <f t="shared" si="36"/>
        <v>983400</v>
      </c>
      <c r="S429" s="29">
        <v>0.04</v>
      </c>
      <c r="T429" s="44">
        <f t="shared" si="40"/>
        <v>944064</v>
      </c>
      <c r="U429" s="44">
        <f t="shared" si="41"/>
        <v>343464</v>
      </c>
      <c r="V429" s="44"/>
    </row>
    <row r="430" spans="1:22" ht="14.5" x14ac:dyDescent="0.35">
      <c r="A430" s="47" t="str">
        <f t="shared" si="37"/>
        <v>SBY-LY-E1031-2016</v>
      </c>
      <c r="B430" s="26">
        <v>42645</v>
      </c>
      <c r="C430" s="42">
        <v>2016</v>
      </c>
      <c r="D430" s="27" t="s">
        <v>80</v>
      </c>
      <c r="E430" s="27" t="s">
        <v>41</v>
      </c>
      <c r="F430" s="42" t="str" cm="1">
        <f t="array" ref="F430">_xlfn.IFS(E430="Bandung","BDG",E430="Surabaya","SBY",E430="Jakarta","JKT")</f>
        <v>SBY</v>
      </c>
      <c r="G430" s="27" t="s">
        <v>48</v>
      </c>
      <c r="H430" s="27" t="s">
        <v>146</v>
      </c>
      <c r="I430" s="27" t="s">
        <v>39</v>
      </c>
      <c r="J430" s="26">
        <v>42439</v>
      </c>
      <c r="K430" s="26">
        <v>42646</v>
      </c>
      <c r="L430" s="27">
        <f t="shared" si="38"/>
        <v>1</v>
      </c>
      <c r="M430" s="45">
        <v>34350</v>
      </c>
      <c r="N430" s="45">
        <v>53700</v>
      </c>
      <c r="O430" s="27">
        <v>95</v>
      </c>
      <c r="P430" s="46">
        <f t="shared" si="39"/>
        <v>0.36033519553072624</v>
      </c>
      <c r="Q430" s="27">
        <v>10</v>
      </c>
      <c r="R430" s="44">
        <f t="shared" si="36"/>
        <v>537000</v>
      </c>
      <c r="S430" s="29">
        <v>0.05</v>
      </c>
      <c r="T430" s="44">
        <f t="shared" si="40"/>
        <v>510150</v>
      </c>
      <c r="U430" s="44">
        <f t="shared" si="41"/>
        <v>166650</v>
      </c>
      <c r="V430" s="44"/>
    </row>
    <row r="431" spans="1:22" ht="14.5" x14ac:dyDescent="0.35">
      <c r="A431" s="47" t="str">
        <f t="shared" si="37"/>
        <v>SBY-LY-E1031-2016</v>
      </c>
      <c r="B431" s="26">
        <v>42661</v>
      </c>
      <c r="C431" s="42">
        <v>2016</v>
      </c>
      <c r="D431" s="27" t="s">
        <v>80</v>
      </c>
      <c r="E431" s="27" t="s">
        <v>41</v>
      </c>
      <c r="F431" s="42" t="str" cm="1">
        <f t="array" ref="F431">_xlfn.IFS(E431="Bandung","BDG",E431="Surabaya","SBY",E431="Jakarta","JKT")</f>
        <v>SBY</v>
      </c>
      <c r="G431" s="27" t="s">
        <v>48</v>
      </c>
      <c r="H431" s="27" t="s">
        <v>196</v>
      </c>
      <c r="I431" s="27" t="s">
        <v>35</v>
      </c>
      <c r="J431" s="26" t="s">
        <v>1572</v>
      </c>
      <c r="K431" s="26">
        <v>42661</v>
      </c>
      <c r="L431" s="27">
        <f t="shared" si="38"/>
        <v>0</v>
      </c>
      <c r="M431" s="45">
        <v>323400</v>
      </c>
      <c r="N431" s="45">
        <v>539100</v>
      </c>
      <c r="O431" s="27">
        <v>60</v>
      </c>
      <c r="P431" s="46">
        <f t="shared" si="39"/>
        <v>0.40011129660545353</v>
      </c>
      <c r="Q431" s="27">
        <v>28</v>
      </c>
      <c r="R431" s="44">
        <f t="shared" si="36"/>
        <v>15094800</v>
      </c>
      <c r="S431" s="29">
        <v>0.01</v>
      </c>
      <c r="T431" s="44">
        <f t="shared" si="40"/>
        <v>14943852</v>
      </c>
      <c r="U431" s="44">
        <f t="shared" si="41"/>
        <v>5888652</v>
      </c>
      <c r="V431" s="44"/>
    </row>
    <row r="432" spans="1:22" ht="14.5" x14ac:dyDescent="0.35">
      <c r="A432" s="47" t="str">
        <f t="shared" si="37"/>
        <v>SBY-LG-E1036-2018</v>
      </c>
      <c r="B432" s="26">
        <v>43179</v>
      </c>
      <c r="C432" s="42">
        <v>2018</v>
      </c>
      <c r="D432" s="27" t="s">
        <v>514</v>
      </c>
      <c r="E432" s="27" t="s">
        <v>41</v>
      </c>
      <c r="F432" s="42" t="str" cm="1">
        <f t="array" ref="F432">_xlfn.IFS(E432="Bandung","BDG",E432="Surabaya","SBY",E432="Jakarta","JKT")</f>
        <v>SBY</v>
      </c>
      <c r="G432" s="27" t="s">
        <v>78</v>
      </c>
      <c r="H432" s="27" t="s">
        <v>451</v>
      </c>
      <c r="I432" s="27" t="s">
        <v>35</v>
      </c>
      <c r="J432" s="26">
        <v>43181</v>
      </c>
      <c r="K432" s="26">
        <v>43181</v>
      </c>
      <c r="L432" s="27">
        <f t="shared" si="38"/>
        <v>2</v>
      </c>
      <c r="M432" s="45">
        <v>27300</v>
      </c>
      <c r="N432" s="45">
        <v>42600</v>
      </c>
      <c r="O432" s="27">
        <v>40</v>
      </c>
      <c r="P432" s="46">
        <f t="shared" si="39"/>
        <v>0.35915492957746481</v>
      </c>
      <c r="Q432" s="27">
        <v>21</v>
      </c>
      <c r="R432" s="44">
        <f t="shared" si="36"/>
        <v>894600</v>
      </c>
      <c r="S432" s="29">
        <v>0.01</v>
      </c>
      <c r="T432" s="44">
        <f t="shared" si="40"/>
        <v>885654</v>
      </c>
      <c r="U432" s="44">
        <f t="shared" si="41"/>
        <v>312354</v>
      </c>
      <c r="V432" s="44"/>
    </row>
    <row r="433" spans="1:22" ht="14.5" x14ac:dyDescent="0.35">
      <c r="A433" s="47" t="str">
        <f t="shared" si="37"/>
        <v>SBY-LT-E1031-2018</v>
      </c>
      <c r="B433" s="26">
        <v>43344</v>
      </c>
      <c r="C433" s="42">
        <v>2018</v>
      </c>
      <c r="D433" s="27" t="s">
        <v>587</v>
      </c>
      <c r="E433" s="27" t="s">
        <v>41</v>
      </c>
      <c r="F433" s="42" t="str" cm="1">
        <f t="array" ref="F433">_xlfn.IFS(E433="Bandung","BDG",E433="Surabaya","SBY",E433="Jakarta","JKT")</f>
        <v>SBY</v>
      </c>
      <c r="G433" s="27" t="s">
        <v>48</v>
      </c>
      <c r="H433" s="27" t="s">
        <v>84</v>
      </c>
      <c r="I433" s="27" t="s">
        <v>35</v>
      </c>
      <c r="J433" s="26">
        <v>43345</v>
      </c>
      <c r="K433" s="26">
        <v>43140</v>
      </c>
      <c r="L433" s="27">
        <f t="shared" si="38"/>
        <v>-204</v>
      </c>
      <c r="M433" s="45">
        <v>1223850</v>
      </c>
      <c r="N433" s="45">
        <v>2399850</v>
      </c>
      <c r="O433" s="27">
        <v>49</v>
      </c>
      <c r="P433" s="46">
        <f t="shared" si="39"/>
        <v>0.49003062691418214</v>
      </c>
      <c r="Q433" s="27">
        <v>19</v>
      </c>
      <c r="R433" s="44">
        <f t="shared" si="36"/>
        <v>45597150</v>
      </c>
      <c r="S433" s="29">
        <v>0.1</v>
      </c>
      <c r="T433" s="44">
        <f t="shared" si="40"/>
        <v>41037435</v>
      </c>
      <c r="U433" s="44">
        <f t="shared" si="41"/>
        <v>17784285</v>
      </c>
      <c r="V433" s="44"/>
    </row>
    <row r="434" spans="1:22" ht="14.5" x14ac:dyDescent="0.35">
      <c r="A434" s="47" t="str">
        <f t="shared" si="37"/>
        <v>JKT-LH-E1029-2018</v>
      </c>
      <c r="B434" s="26">
        <v>43414</v>
      </c>
      <c r="C434" s="42">
        <v>2018</v>
      </c>
      <c r="D434" s="27" t="s">
        <v>611</v>
      </c>
      <c r="E434" s="27" t="s">
        <v>32</v>
      </c>
      <c r="F434" s="42" t="str" cm="1">
        <f t="array" ref="F434">_xlfn.IFS(E434="Bandung","BDG",E434="Surabaya","SBY",E434="Jakarta","JKT")</f>
        <v>JKT</v>
      </c>
      <c r="G434" s="27" t="s">
        <v>37</v>
      </c>
      <c r="H434" s="27" t="s">
        <v>227</v>
      </c>
      <c r="I434" s="27" t="s">
        <v>39</v>
      </c>
      <c r="J434" s="26">
        <v>43445</v>
      </c>
      <c r="K434" s="26">
        <v>43416</v>
      </c>
      <c r="L434" s="27">
        <f t="shared" si="38"/>
        <v>2</v>
      </c>
      <c r="M434" s="45">
        <v>22950</v>
      </c>
      <c r="N434" s="45">
        <v>41700</v>
      </c>
      <c r="O434" s="27">
        <v>218</v>
      </c>
      <c r="P434" s="46">
        <f t="shared" si="39"/>
        <v>0.44964028776978415</v>
      </c>
      <c r="Q434" s="27">
        <v>38</v>
      </c>
      <c r="R434" s="44">
        <f t="shared" si="36"/>
        <v>1584600</v>
      </c>
      <c r="S434" s="29">
        <v>0.1</v>
      </c>
      <c r="T434" s="44">
        <f t="shared" si="40"/>
        <v>1426140</v>
      </c>
      <c r="U434" s="44">
        <f t="shared" si="41"/>
        <v>554040</v>
      </c>
      <c r="V434" s="44"/>
    </row>
    <row r="435" spans="1:22" ht="14.5" x14ac:dyDescent="0.35">
      <c r="A435" s="47" t="str">
        <f t="shared" si="37"/>
        <v>JKT-LW-E1028-2017</v>
      </c>
      <c r="B435" s="26">
        <v>42988</v>
      </c>
      <c r="C435" s="42">
        <v>2017</v>
      </c>
      <c r="D435" s="27" t="s">
        <v>424</v>
      </c>
      <c r="E435" s="27" t="s">
        <v>32</v>
      </c>
      <c r="F435" s="42" t="str" cm="1">
        <f t="array" ref="F435">_xlfn.IFS(E435="Bandung","BDG",E435="Surabaya","SBY",E435="Jakarta","JKT")</f>
        <v>JKT</v>
      </c>
      <c r="G435" s="27" t="s">
        <v>33</v>
      </c>
      <c r="H435" s="27" t="s">
        <v>107</v>
      </c>
      <c r="I435" s="27" t="s">
        <v>73</v>
      </c>
      <c r="J435" s="26">
        <v>43017</v>
      </c>
      <c r="K435" s="26">
        <v>42988</v>
      </c>
      <c r="L435" s="27">
        <f t="shared" si="38"/>
        <v>0</v>
      </c>
      <c r="M435" s="45">
        <v>71850</v>
      </c>
      <c r="N435" s="45">
        <v>179550</v>
      </c>
      <c r="O435" s="27">
        <v>288</v>
      </c>
      <c r="P435" s="46">
        <f t="shared" si="39"/>
        <v>0.59983291562238927</v>
      </c>
      <c r="Q435" s="27">
        <v>46</v>
      </c>
      <c r="R435" s="44">
        <f t="shared" si="36"/>
        <v>8259300</v>
      </c>
      <c r="S435" s="29">
        <v>7.0000000000000007E-2</v>
      </c>
      <c r="T435" s="44">
        <f t="shared" si="40"/>
        <v>7681148.9999999991</v>
      </c>
      <c r="U435" s="44">
        <f t="shared" si="41"/>
        <v>4376048.9999999991</v>
      </c>
      <c r="V435" s="44"/>
    </row>
    <row r="436" spans="1:22" ht="14.5" x14ac:dyDescent="0.35">
      <c r="A436" s="47" t="str">
        <f t="shared" si="37"/>
        <v>SBY-LW-E1034-2018</v>
      </c>
      <c r="B436" s="26">
        <v>43402</v>
      </c>
      <c r="C436" s="42">
        <v>2018</v>
      </c>
      <c r="D436" s="27" t="s">
        <v>606</v>
      </c>
      <c r="E436" s="27" t="s">
        <v>41</v>
      </c>
      <c r="F436" s="42" t="str" cm="1">
        <f t="array" ref="F436">_xlfn.IFS(E436="Bandung","BDG",E436="Surabaya","SBY",E436="Jakarta","JKT")</f>
        <v>SBY</v>
      </c>
      <c r="G436" s="27" t="s">
        <v>65</v>
      </c>
      <c r="H436" s="27" t="s">
        <v>43</v>
      </c>
      <c r="I436" s="27" t="s">
        <v>39</v>
      </c>
      <c r="J436" s="26" t="s">
        <v>1701</v>
      </c>
      <c r="K436" s="26">
        <v>43402</v>
      </c>
      <c r="L436" s="27">
        <f t="shared" si="38"/>
        <v>0</v>
      </c>
      <c r="M436" s="45">
        <v>36150</v>
      </c>
      <c r="N436" s="45">
        <v>55650</v>
      </c>
      <c r="O436" s="27">
        <v>52</v>
      </c>
      <c r="P436" s="46">
        <f t="shared" si="39"/>
        <v>0.35040431266846361</v>
      </c>
      <c r="Q436" s="27">
        <v>13</v>
      </c>
      <c r="R436" s="44">
        <f t="shared" si="36"/>
        <v>723450</v>
      </c>
      <c r="S436" s="29">
        <v>0.06</v>
      </c>
      <c r="T436" s="44">
        <f t="shared" si="40"/>
        <v>680043</v>
      </c>
      <c r="U436" s="44">
        <f t="shared" si="41"/>
        <v>210093</v>
      </c>
      <c r="V436" s="44"/>
    </row>
    <row r="437" spans="1:22" ht="14.5" x14ac:dyDescent="0.35">
      <c r="A437" s="47" t="str">
        <f t="shared" si="37"/>
        <v>JKT-LU-E1029-2018</v>
      </c>
      <c r="B437" s="26">
        <v>43409</v>
      </c>
      <c r="C437" s="42">
        <v>2018</v>
      </c>
      <c r="D437" s="27" t="s">
        <v>609</v>
      </c>
      <c r="E437" s="27" t="s">
        <v>32</v>
      </c>
      <c r="F437" s="42" t="str" cm="1">
        <f t="array" ref="F437">_xlfn.IFS(E437="Bandung","BDG",E437="Surabaya","SBY",E437="Jakarta","JKT")</f>
        <v>JKT</v>
      </c>
      <c r="G437" s="27" t="s">
        <v>37</v>
      </c>
      <c r="H437" s="27" t="s">
        <v>490</v>
      </c>
      <c r="I437" s="27" t="s">
        <v>35</v>
      </c>
      <c r="J437" s="26">
        <v>43411</v>
      </c>
      <c r="K437" s="26">
        <v>43292</v>
      </c>
      <c r="L437" s="27">
        <f t="shared" si="38"/>
        <v>-117</v>
      </c>
      <c r="M437" s="45">
        <v>17850</v>
      </c>
      <c r="N437" s="45">
        <v>29700</v>
      </c>
      <c r="O437" s="27">
        <v>28</v>
      </c>
      <c r="P437" s="46">
        <f t="shared" si="39"/>
        <v>0.39898989898989901</v>
      </c>
      <c r="Q437" s="27">
        <v>21</v>
      </c>
      <c r="R437" s="44">
        <f t="shared" si="36"/>
        <v>623700</v>
      </c>
      <c r="S437" s="29">
        <v>0.01</v>
      </c>
      <c r="T437" s="44">
        <f t="shared" si="40"/>
        <v>617463</v>
      </c>
      <c r="U437" s="44">
        <f t="shared" si="41"/>
        <v>242613</v>
      </c>
      <c r="V437" s="44"/>
    </row>
    <row r="438" spans="1:22" ht="14.5" x14ac:dyDescent="0.35">
      <c r="A438" s="47" t="str">
        <f t="shared" si="37"/>
        <v>SBY-LT-E1034-2019</v>
      </c>
      <c r="B438" s="26">
        <v>43740</v>
      </c>
      <c r="C438" s="42">
        <v>2019</v>
      </c>
      <c r="D438" s="27" t="s">
        <v>694</v>
      </c>
      <c r="E438" s="27" t="s">
        <v>41</v>
      </c>
      <c r="F438" s="42" t="str" cm="1">
        <f t="array" ref="F438">_xlfn.IFS(E438="Bandung","BDG",E438="Surabaya","SBY",E438="Jakarta","JKT")</f>
        <v>SBY</v>
      </c>
      <c r="G438" s="27" t="s">
        <v>65</v>
      </c>
      <c r="H438" s="27" t="s">
        <v>269</v>
      </c>
      <c r="I438" s="27" t="s">
        <v>73</v>
      </c>
      <c r="J438" s="26">
        <v>43534</v>
      </c>
      <c r="K438" s="26">
        <v>43741</v>
      </c>
      <c r="L438" s="27">
        <f t="shared" si="38"/>
        <v>1</v>
      </c>
      <c r="M438" s="45">
        <v>37500</v>
      </c>
      <c r="N438" s="45">
        <v>85200</v>
      </c>
      <c r="O438" s="27">
        <v>98</v>
      </c>
      <c r="P438" s="46">
        <f t="shared" si="39"/>
        <v>0.5598591549295775</v>
      </c>
      <c r="Q438" s="27">
        <v>27</v>
      </c>
      <c r="R438" s="44">
        <f t="shared" si="36"/>
        <v>2300400</v>
      </c>
      <c r="S438" s="29">
        <v>0.03</v>
      </c>
      <c r="T438" s="44">
        <f t="shared" si="40"/>
        <v>2231388</v>
      </c>
      <c r="U438" s="44">
        <f t="shared" si="41"/>
        <v>1218888</v>
      </c>
      <c r="V438" s="44"/>
    </row>
    <row r="439" spans="1:22" ht="14.5" x14ac:dyDescent="0.35">
      <c r="A439" s="47" t="str">
        <f t="shared" si="37"/>
        <v>JKT-LA-E1029-2020</v>
      </c>
      <c r="B439" s="26">
        <v>43871</v>
      </c>
      <c r="C439" s="42">
        <v>2020</v>
      </c>
      <c r="D439" s="27" t="s">
        <v>712</v>
      </c>
      <c r="E439" s="27" t="s">
        <v>32</v>
      </c>
      <c r="F439" s="42" t="str" cm="1">
        <f t="array" ref="F439">_xlfn.IFS(E439="Bandung","BDG",E439="Surabaya","SBY",E439="Jakarta","JKT")</f>
        <v>JKT</v>
      </c>
      <c r="G439" s="27" t="s">
        <v>37</v>
      </c>
      <c r="H439" s="27" t="s">
        <v>216</v>
      </c>
      <c r="I439" s="27" t="s">
        <v>35</v>
      </c>
      <c r="J439" s="26">
        <v>43880</v>
      </c>
      <c r="K439" s="26">
        <v>43880</v>
      </c>
      <c r="L439" s="27">
        <f t="shared" si="38"/>
        <v>9</v>
      </c>
      <c r="M439" s="45">
        <v>66900</v>
      </c>
      <c r="N439" s="45">
        <v>163350</v>
      </c>
      <c r="O439" s="27">
        <v>181</v>
      </c>
      <c r="P439" s="46">
        <f t="shared" si="39"/>
        <v>0.59044995408631773</v>
      </c>
      <c r="Q439" s="27">
        <v>30</v>
      </c>
      <c r="R439" s="44">
        <f t="shared" si="36"/>
        <v>4900500</v>
      </c>
      <c r="S439" s="29">
        <v>0.08</v>
      </c>
      <c r="T439" s="44">
        <f t="shared" si="40"/>
        <v>4508460</v>
      </c>
      <c r="U439" s="44">
        <f t="shared" si="41"/>
        <v>2501460</v>
      </c>
      <c r="V439" s="44"/>
    </row>
    <row r="440" spans="1:22" ht="14.5" x14ac:dyDescent="0.35">
      <c r="A440" s="47" t="str">
        <f t="shared" si="37"/>
        <v>SBY-LP-E1036-2016</v>
      </c>
      <c r="B440" s="26">
        <v>42549</v>
      </c>
      <c r="C440" s="42">
        <v>2016</v>
      </c>
      <c r="D440" s="27" t="s">
        <v>77</v>
      </c>
      <c r="E440" s="27" t="s">
        <v>41</v>
      </c>
      <c r="F440" s="42" t="str" cm="1">
        <f t="array" ref="F440">_xlfn.IFS(E440="Bandung","BDG",E440="Surabaya","SBY",E440="Jakarta","JKT")</f>
        <v>SBY</v>
      </c>
      <c r="G440" s="27" t="s">
        <v>78</v>
      </c>
      <c r="H440" s="27" t="s">
        <v>79</v>
      </c>
      <c r="I440" s="27" t="s">
        <v>39</v>
      </c>
      <c r="J440" s="26">
        <v>42407</v>
      </c>
      <c r="K440" s="26">
        <v>42553</v>
      </c>
      <c r="L440" s="27">
        <f t="shared" si="38"/>
        <v>4</v>
      </c>
      <c r="M440" s="45">
        <v>19500</v>
      </c>
      <c r="N440" s="45">
        <v>43200</v>
      </c>
      <c r="O440" s="27">
        <v>152</v>
      </c>
      <c r="P440" s="46">
        <f t="shared" si="39"/>
        <v>0.54861111111111116</v>
      </c>
      <c r="Q440" s="27">
        <v>48</v>
      </c>
      <c r="R440" s="44">
        <f t="shared" si="36"/>
        <v>2073600</v>
      </c>
      <c r="S440" s="29">
        <v>7.0000000000000007E-2</v>
      </c>
      <c r="T440" s="44">
        <f t="shared" si="40"/>
        <v>1928447.9999999998</v>
      </c>
      <c r="U440" s="44">
        <f t="shared" si="41"/>
        <v>992447.99999999977</v>
      </c>
      <c r="V440" s="44"/>
    </row>
    <row r="441" spans="1:22" ht="14.5" x14ac:dyDescent="0.35">
      <c r="A441" s="47" t="str">
        <f t="shared" si="37"/>
        <v>SBY-LP-E1036-2017</v>
      </c>
      <c r="B441" s="26">
        <v>43095</v>
      </c>
      <c r="C441" s="42">
        <v>2017</v>
      </c>
      <c r="D441" s="27" t="s">
        <v>77</v>
      </c>
      <c r="E441" s="27" t="s">
        <v>41</v>
      </c>
      <c r="F441" s="42" t="str" cm="1">
        <f t="array" ref="F441">_xlfn.IFS(E441="Bandung","BDG",E441="Surabaya","SBY",E441="Jakarta","JKT")</f>
        <v>SBY</v>
      </c>
      <c r="G441" s="27" t="s">
        <v>78</v>
      </c>
      <c r="H441" s="27" t="s">
        <v>293</v>
      </c>
      <c r="I441" s="27" t="s">
        <v>35</v>
      </c>
      <c r="J441" s="26">
        <v>43099</v>
      </c>
      <c r="K441" s="26">
        <v>43099</v>
      </c>
      <c r="L441" s="27">
        <f t="shared" si="38"/>
        <v>4</v>
      </c>
      <c r="M441" s="45">
        <v>67950</v>
      </c>
      <c r="N441" s="45">
        <v>109500</v>
      </c>
      <c r="O441" s="27">
        <v>259</v>
      </c>
      <c r="P441" s="46">
        <f t="shared" si="39"/>
        <v>0.37945205479452054</v>
      </c>
      <c r="Q441" s="27">
        <v>26</v>
      </c>
      <c r="R441" s="44">
        <f t="shared" si="36"/>
        <v>2847000</v>
      </c>
      <c r="S441" s="29">
        <v>0.03</v>
      </c>
      <c r="T441" s="44">
        <f t="shared" si="40"/>
        <v>2761590</v>
      </c>
      <c r="U441" s="44">
        <f t="shared" si="41"/>
        <v>994890</v>
      </c>
      <c r="V441" s="44"/>
    </row>
    <row r="442" spans="1:22" ht="14.5" x14ac:dyDescent="0.35">
      <c r="A442" s="47" t="str">
        <f t="shared" si="37"/>
        <v>SBY-LP-E1036-2019</v>
      </c>
      <c r="B442" s="26">
        <v>43663</v>
      </c>
      <c r="C442" s="42">
        <v>2019</v>
      </c>
      <c r="D442" s="27" t="s">
        <v>77</v>
      </c>
      <c r="E442" s="27" t="s">
        <v>41</v>
      </c>
      <c r="F442" s="42" t="str" cm="1">
        <f t="array" ref="F442">_xlfn.IFS(E442="Bandung","BDG",E442="Surabaya","SBY",E442="Jakarta","JKT")</f>
        <v>SBY</v>
      </c>
      <c r="G442" s="27" t="s">
        <v>78</v>
      </c>
      <c r="H442" s="27" t="s">
        <v>204</v>
      </c>
      <c r="I442" s="27" t="s">
        <v>39</v>
      </c>
      <c r="J442" s="26" t="s">
        <v>1736</v>
      </c>
      <c r="K442" s="26">
        <v>43663</v>
      </c>
      <c r="L442" s="27">
        <f t="shared" si="38"/>
        <v>0</v>
      </c>
      <c r="M442" s="45">
        <v>3600</v>
      </c>
      <c r="N442" s="45">
        <v>18900</v>
      </c>
      <c r="O442" s="27">
        <v>266</v>
      </c>
      <c r="P442" s="46">
        <f t="shared" si="39"/>
        <v>0.80952380952380953</v>
      </c>
      <c r="Q442" s="27">
        <v>40</v>
      </c>
      <c r="R442" s="44">
        <f t="shared" si="36"/>
        <v>756000</v>
      </c>
      <c r="S442" s="29">
        <v>0.04</v>
      </c>
      <c r="T442" s="44">
        <f t="shared" si="40"/>
        <v>725760</v>
      </c>
      <c r="U442" s="44">
        <f t="shared" si="41"/>
        <v>581760</v>
      </c>
      <c r="V442" s="44"/>
    </row>
    <row r="443" spans="1:22" ht="14.5" x14ac:dyDescent="0.35">
      <c r="A443" s="47" t="str">
        <f t="shared" si="37"/>
        <v>SBY-LP-E1036-2019</v>
      </c>
      <c r="B443" s="26">
        <v>43826</v>
      </c>
      <c r="C443" s="42">
        <v>2019</v>
      </c>
      <c r="D443" s="27" t="s">
        <v>77</v>
      </c>
      <c r="E443" s="27" t="s">
        <v>41</v>
      </c>
      <c r="F443" s="42" t="str" cm="1">
        <f t="array" ref="F443">_xlfn.IFS(E443="Bandung","BDG",E443="Surabaya","SBY",E443="Jakarta","JKT")</f>
        <v>SBY</v>
      </c>
      <c r="G443" s="27" t="s">
        <v>78</v>
      </c>
      <c r="H443" s="27" t="s">
        <v>473</v>
      </c>
      <c r="I443" s="27" t="s">
        <v>35</v>
      </c>
      <c r="J443" s="26">
        <v>43891</v>
      </c>
      <c r="K443" s="26">
        <v>43833</v>
      </c>
      <c r="L443" s="27">
        <f t="shared" si="38"/>
        <v>7</v>
      </c>
      <c r="M443" s="45">
        <v>60450.000000000007</v>
      </c>
      <c r="N443" s="45">
        <v>140700</v>
      </c>
      <c r="O443" s="27">
        <v>94</v>
      </c>
      <c r="P443" s="46">
        <f t="shared" si="39"/>
        <v>0.57036247334754797</v>
      </c>
      <c r="Q443" s="27">
        <v>46</v>
      </c>
      <c r="R443" s="44">
        <f t="shared" si="36"/>
        <v>6472200</v>
      </c>
      <c r="S443" s="29">
        <v>0.09</v>
      </c>
      <c r="T443" s="44">
        <f t="shared" si="40"/>
        <v>5889702</v>
      </c>
      <c r="U443" s="44">
        <f t="shared" si="41"/>
        <v>3109001.9999999995</v>
      </c>
      <c r="V443" s="44"/>
    </row>
    <row r="444" spans="1:22" ht="14.5" x14ac:dyDescent="0.35">
      <c r="A444" s="47" t="str">
        <f t="shared" si="37"/>
        <v>JKT-KP-E1028-2017</v>
      </c>
      <c r="B444" s="26">
        <v>42892</v>
      </c>
      <c r="C444" s="42">
        <v>2017</v>
      </c>
      <c r="D444" s="27" t="s">
        <v>377</v>
      </c>
      <c r="E444" s="27" t="s">
        <v>32</v>
      </c>
      <c r="F444" s="42" t="str" cm="1">
        <f t="array" ref="F444">_xlfn.IFS(E444="Bandung","BDG",E444="Surabaya","SBY",E444="Jakarta","JKT")</f>
        <v>JKT</v>
      </c>
      <c r="G444" s="27" t="s">
        <v>33</v>
      </c>
      <c r="H444" s="27" t="s">
        <v>241</v>
      </c>
      <c r="I444" s="27" t="s">
        <v>39</v>
      </c>
      <c r="J444" s="26">
        <v>42922</v>
      </c>
      <c r="K444" s="26">
        <v>42893</v>
      </c>
      <c r="L444" s="27">
        <f t="shared" si="38"/>
        <v>1</v>
      </c>
      <c r="M444" s="45">
        <v>13950</v>
      </c>
      <c r="N444" s="45">
        <v>22200</v>
      </c>
      <c r="O444" s="27">
        <v>189</v>
      </c>
      <c r="P444" s="46">
        <f t="shared" si="39"/>
        <v>0.3716216216216216</v>
      </c>
      <c r="Q444" s="27">
        <v>46</v>
      </c>
      <c r="R444" s="44">
        <f t="shared" si="36"/>
        <v>1021200</v>
      </c>
      <c r="S444" s="29">
        <v>0</v>
      </c>
      <c r="T444" s="44">
        <f t="shared" si="40"/>
        <v>1021200</v>
      </c>
      <c r="U444" s="44">
        <f t="shared" si="41"/>
        <v>379500</v>
      </c>
      <c r="V444" s="44"/>
    </row>
    <row r="445" spans="1:22" ht="14.5" x14ac:dyDescent="0.35">
      <c r="A445" s="47" t="str">
        <f t="shared" si="37"/>
        <v>JKT-KP-E1028-2017</v>
      </c>
      <c r="B445" s="26">
        <v>43031</v>
      </c>
      <c r="C445" s="42">
        <v>2017</v>
      </c>
      <c r="D445" s="27" t="s">
        <v>377</v>
      </c>
      <c r="E445" s="27" t="s">
        <v>32</v>
      </c>
      <c r="F445" s="42" t="str" cm="1">
        <f t="array" ref="F445">_xlfn.IFS(E445="Bandung","BDG",E445="Surabaya","SBY",E445="Jakarta","JKT")</f>
        <v>JKT</v>
      </c>
      <c r="G445" s="27" t="s">
        <v>33</v>
      </c>
      <c r="H445" s="27" t="s">
        <v>105</v>
      </c>
      <c r="I445" s="27" t="s">
        <v>35</v>
      </c>
      <c r="J445" s="26" t="s">
        <v>1635</v>
      </c>
      <c r="K445" s="26">
        <v>43033</v>
      </c>
      <c r="L445" s="27">
        <f t="shared" si="38"/>
        <v>2</v>
      </c>
      <c r="M445" s="45">
        <v>124650.00000000001</v>
      </c>
      <c r="N445" s="45">
        <v>239700</v>
      </c>
      <c r="O445" s="27">
        <v>125</v>
      </c>
      <c r="P445" s="46">
        <f t="shared" si="39"/>
        <v>0.47997496871088857</v>
      </c>
      <c r="Q445" s="27">
        <v>40</v>
      </c>
      <c r="R445" s="44">
        <f t="shared" si="36"/>
        <v>9588000</v>
      </c>
      <c r="S445" s="29">
        <v>0.03</v>
      </c>
      <c r="T445" s="44">
        <f t="shared" si="40"/>
        <v>9300360</v>
      </c>
      <c r="U445" s="44">
        <f t="shared" si="41"/>
        <v>4314359.9999999991</v>
      </c>
      <c r="V445" s="44"/>
    </row>
    <row r="446" spans="1:22" ht="14.5" x14ac:dyDescent="0.35">
      <c r="A446" s="47" t="str">
        <f t="shared" si="37"/>
        <v>JKT-KP-E1028-2018</v>
      </c>
      <c r="B446" s="26">
        <v>43118</v>
      </c>
      <c r="C446" s="42">
        <v>2018</v>
      </c>
      <c r="D446" s="27" t="s">
        <v>377</v>
      </c>
      <c r="E446" s="27" t="s">
        <v>32</v>
      </c>
      <c r="F446" s="42" t="str" cm="1">
        <f t="array" ref="F446">_xlfn.IFS(E446="Bandung","BDG",E446="Surabaya","SBY",E446="Jakarta","JKT")</f>
        <v>JKT</v>
      </c>
      <c r="G446" s="27" t="s">
        <v>33</v>
      </c>
      <c r="H446" s="27" t="s">
        <v>221</v>
      </c>
      <c r="I446" s="27" t="s">
        <v>35</v>
      </c>
      <c r="J446" s="26">
        <v>43119</v>
      </c>
      <c r="K446" s="26">
        <v>43119</v>
      </c>
      <c r="L446" s="27">
        <f t="shared" si="38"/>
        <v>1</v>
      </c>
      <c r="M446" s="45">
        <v>29100</v>
      </c>
      <c r="N446" s="45">
        <v>46200</v>
      </c>
      <c r="O446" s="27">
        <v>217</v>
      </c>
      <c r="P446" s="46">
        <f t="shared" si="39"/>
        <v>0.37012987012987014</v>
      </c>
      <c r="Q446" s="27">
        <v>46</v>
      </c>
      <c r="R446" s="44">
        <f t="shared" si="36"/>
        <v>2125200</v>
      </c>
      <c r="S446" s="29">
        <v>0.04</v>
      </c>
      <c r="T446" s="44">
        <f t="shared" si="40"/>
        <v>2040192</v>
      </c>
      <c r="U446" s="44">
        <f t="shared" si="41"/>
        <v>701592</v>
      </c>
      <c r="V446" s="44"/>
    </row>
    <row r="447" spans="1:22" ht="14.5" x14ac:dyDescent="0.35">
      <c r="A447" s="47" t="str">
        <f t="shared" si="37"/>
        <v>SBY-KM-E1037-2019</v>
      </c>
      <c r="B447" s="26">
        <v>43789</v>
      </c>
      <c r="C447" s="42">
        <v>2019</v>
      </c>
      <c r="D447" s="27" t="s">
        <v>704</v>
      </c>
      <c r="E447" s="27" t="s">
        <v>41</v>
      </c>
      <c r="F447" s="42" t="str" cm="1">
        <f t="array" ref="F447">_xlfn.IFS(E447="Bandung","BDG",E447="Surabaya","SBY",E447="Jakarta","JKT")</f>
        <v>SBY</v>
      </c>
      <c r="G447" s="27" t="s">
        <v>83</v>
      </c>
      <c r="H447" s="27" t="s">
        <v>386</v>
      </c>
      <c r="I447" s="27" t="s">
        <v>35</v>
      </c>
      <c r="J447" s="26">
        <v>43790</v>
      </c>
      <c r="K447" s="26">
        <v>43790</v>
      </c>
      <c r="L447" s="27">
        <f t="shared" si="38"/>
        <v>1</v>
      </c>
      <c r="M447" s="45">
        <v>780600</v>
      </c>
      <c r="N447" s="45">
        <v>1258950</v>
      </c>
      <c r="O447" s="27">
        <v>90</v>
      </c>
      <c r="P447" s="46">
        <f t="shared" si="39"/>
        <v>0.3799594900512332</v>
      </c>
      <c r="Q447" s="27">
        <v>37</v>
      </c>
      <c r="R447" s="44">
        <f t="shared" si="36"/>
        <v>46581150</v>
      </c>
      <c r="S447" s="29">
        <v>0.03</v>
      </c>
      <c r="T447" s="44">
        <f t="shared" si="40"/>
        <v>45183715.5</v>
      </c>
      <c r="U447" s="44">
        <f t="shared" si="41"/>
        <v>16301515.5</v>
      </c>
      <c r="V447" s="44"/>
    </row>
    <row r="448" spans="1:22" ht="14.5" x14ac:dyDescent="0.35">
      <c r="A448" s="47" t="str">
        <f t="shared" si="37"/>
        <v>JKT-KH-E1028-2016</v>
      </c>
      <c r="B448" s="26">
        <v>42672</v>
      </c>
      <c r="C448" s="42">
        <v>2016</v>
      </c>
      <c r="D448" s="27" t="s">
        <v>205</v>
      </c>
      <c r="E448" s="27" t="s">
        <v>32</v>
      </c>
      <c r="F448" s="42" t="str" cm="1">
        <f t="array" ref="F448">_xlfn.IFS(E448="Bandung","BDG",E448="Surabaya","SBY",E448="Jakarta","JKT")</f>
        <v>JKT</v>
      </c>
      <c r="G448" s="27" t="s">
        <v>33</v>
      </c>
      <c r="H448" s="27" t="s">
        <v>206</v>
      </c>
      <c r="I448" s="27" t="s">
        <v>35</v>
      </c>
      <c r="J448" s="26">
        <v>42672</v>
      </c>
      <c r="K448" s="26">
        <v>42672</v>
      </c>
      <c r="L448" s="27">
        <f t="shared" si="38"/>
        <v>0</v>
      </c>
      <c r="M448" s="45">
        <v>817800</v>
      </c>
      <c r="N448" s="45">
        <v>1514550</v>
      </c>
      <c r="O448" s="27">
        <v>120</v>
      </c>
      <c r="P448" s="46">
        <f t="shared" si="39"/>
        <v>0.46003763494107158</v>
      </c>
      <c r="Q448" s="27">
        <v>35</v>
      </c>
      <c r="R448" s="44">
        <f t="shared" si="36"/>
        <v>53009250</v>
      </c>
      <c r="S448" s="29">
        <v>0.05</v>
      </c>
      <c r="T448" s="44">
        <f t="shared" si="40"/>
        <v>50358787.5</v>
      </c>
      <c r="U448" s="44">
        <f t="shared" si="41"/>
        <v>21735787.5</v>
      </c>
      <c r="V448" s="44"/>
    </row>
    <row r="449" spans="1:22" ht="14.5" x14ac:dyDescent="0.35">
      <c r="A449" s="47" t="str">
        <f t="shared" si="37"/>
        <v>JKT-KH-E1028-2018</v>
      </c>
      <c r="B449" s="26">
        <v>43324</v>
      </c>
      <c r="C449" s="42">
        <v>2018</v>
      </c>
      <c r="D449" s="27" t="s">
        <v>205</v>
      </c>
      <c r="E449" s="27" t="s">
        <v>32</v>
      </c>
      <c r="F449" s="42" t="str" cm="1">
        <f t="array" ref="F449">_xlfn.IFS(E449="Bandung","BDG",E449="Surabaya","SBY",E449="Jakarta","JKT")</f>
        <v>JKT</v>
      </c>
      <c r="G449" s="27" t="s">
        <v>33</v>
      </c>
      <c r="H449" s="27" t="s">
        <v>229</v>
      </c>
      <c r="I449" s="27" t="s">
        <v>35</v>
      </c>
      <c r="J449" s="26">
        <v>43326</v>
      </c>
      <c r="K449" s="26">
        <v>43326</v>
      </c>
      <c r="L449" s="27">
        <f t="shared" si="38"/>
        <v>2</v>
      </c>
      <c r="M449" s="45">
        <v>33900</v>
      </c>
      <c r="N449" s="45">
        <v>53700</v>
      </c>
      <c r="O449" s="27">
        <v>156</v>
      </c>
      <c r="P449" s="46">
        <f t="shared" si="39"/>
        <v>0.36871508379888268</v>
      </c>
      <c r="Q449" s="27">
        <v>7</v>
      </c>
      <c r="R449" s="44">
        <f t="shared" si="36"/>
        <v>375900</v>
      </c>
      <c r="S449" s="29">
        <v>0.09</v>
      </c>
      <c r="T449" s="44">
        <f t="shared" si="40"/>
        <v>342069</v>
      </c>
      <c r="U449" s="44">
        <f t="shared" si="41"/>
        <v>104769</v>
      </c>
      <c r="V449" s="44"/>
    </row>
    <row r="450" spans="1:22" ht="14.5" x14ac:dyDescent="0.35">
      <c r="A450" s="47" t="str">
        <f t="shared" si="37"/>
        <v>SBY-KS-E1039-2016</v>
      </c>
      <c r="B450" s="26">
        <v>42594</v>
      </c>
      <c r="C450" s="42">
        <v>2016</v>
      </c>
      <c r="D450" s="27" t="s">
        <v>102</v>
      </c>
      <c r="E450" s="27" t="s">
        <v>41</v>
      </c>
      <c r="F450" s="42" t="str" cm="1">
        <f t="array" ref="F450">_xlfn.IFS(E450="Bandung","BDG",E450="Surabaya","SBY",E450="Jakarta","JKT")</f>
        <v>SBY</v>
      </c>
      <c r="G450" s="27" t="s">
        <v>103</v>
      </c>
      <c r="H450" s="27" t="s">
        <v>94</v>
      </c>
      <c r="I450" s="27" t="s">
        <v>35</v>
      </c>
      <c r="J450" s="26">
        <v>42596</v>
      </c>
      <c r="K450" s="26">
        <v>42596</v>
      </c>
      <c r="L450" s="27">
        <f t="shared" si="38"/>
        <v>2</v>
      </c>
      <c r="M450" s="45">
        <v>114150</v>
      </c>
      <c r="N450" s="45">
        <v>184200</v>
      </c>
      <c r="O450" s="27">
        <v>27</v>
      </c>
      <c r="P450" s="46">
        <f t="shared" si="39"/>
        <v>0.38029315960912052</v>
      </c>
      <c r="Q450" s="27">
        <v>27</v>
      </c>
      <c r="R450" s="44">
        <f t="shared" si="36"/>
        <v>4973400</v>
      </c>
      <c r="S450" s="29">
        <v>0.03</v>
      </c>
      <c r="T450" s="44">
        <f t="shared" si="40"/>
        <v>4824198</v>
      </c>
      <c r="U450" s="44">
        <f t="shared" si="41"/>
        <v>1742148</v>
      </c>
      <c r="V450" s="44"/>
    </row>
    <row r="451" spans="1:22" ht="14.5" x14ac:dyDescent="0.35">
      <c r="A451" s="47" t="str">
        <f t="shared" si="37"/>
        <v>SBY-KS-E1039-2018</v>
      </c>
      <c r="B451" s="26">
        <v>43351</v>
      </c>
      <c r="C451" s="42">
        <v>2018</v>
      </c>
      <c r="D451" s="27" t="s">
        <v>102</v>
      </c>
      <c r="E451" s="27" t="s">
        <v>41</v>
      </c>
      <c r="F451" s="42" t="str" cm="1">
        <f t="array" ref="F451">_xlfn.IFS(E451="Bandung","BDG",E451="Surabaya","SBY",E451="Jakarta","JKT")</f>
        <v>SBY</v>
      </c>
      <c r="G451" s="27" t="s">
        <v>103</v>
      </c>
      <c r="H451" s="27" t="s">
        <v>99</v>
      </c>
      <c r="I451" s="27" t="s">
        <v>35</v>
      </c>
      <c r="J451" s="26">
        <v>43382</v>
      </c>
      <c r="K451" s="26">
        <v>43353</v>
      </c>
      <c r="L451" s="27">
        <f t="shared" si="38"/>
        <v>2</v>
      </c>
      <c r="M451" s="45">
        <v>95850</v>
      </c>
      <c r="N451" s="45">
        <v>299700</v>
      </c>
      <c r="O451" s="27">
        <v>244</v>
      </c>
      <c r="P451" s="46">
        <f t="shared" si="39"/>
        <v>0.68018018018018023</v>
      </c>
      <c r="Q451" s="27">
        <v>7</v>
      </c>
      <c r="R451" s="44">
        <f t="shared" si="36"/>
        <v>2097900</v>
      </c>
      <c r="S451" s="29">
        <v>0.09</v>
      </c>
      <c r="T451" s="44">
        <f t="shared" si="40"/>
        <v>1909089</v>
      </c>
      <c r="U451" s="44">
        <f t="shared" si="41"/>
        <v>1238139</v>
      </c>
      <c r="V451" s="44"/>
    </row>
    <row r="452" spans="1:22" ht="14.5" x14ac:dyDescent="0.35">
      <c r="A452" s="47" t="str">
        <f t="shared" si="37"/>
        <v>SBY-KS-E1039-2018</v>
      </c>
      <c r="B452" s="26">
        <v>43363</v>
      </c>
      <c r="C452" s="42">
        <v>2018</v>
      </c>
      <c r="D452" s="27" t="s">
        <v>102</v>
      </c>
      <c r="E452" s="27" t="s">
        <v>41</v>
      </c>
      <c r="F452" s="42" t="str" cm="1">
        <f t="array" ref="F452">_xlfn.IFS(E452="Bandung","BDG",E452="Surabaya","SBY",E452="Jakarta","JKT")</f>
        <v>SBY</v>
      </c>
      <c r="G452" s="27" t="s">
        <v>103</v>
      </c>
      <c r="H452" s="27" t="s">
        <v>363</v>
      </c>
      <c r="I452" s="27" t="s">
        <v>236</v>
      </c>
      <c r="J452" s="26" t="s">
        <v>1693</v>
      </c>
      <c r="K452" s="26">
        <v>43364</v>
      </c>
      <c r="L452" s="27">
        <f t="shared" si="38"/>
        <v>1</v>
      </c>
      <c r="M452" s="45">
        <v>5669850</v>
      </c>
      <c r="N452" s="45">
        <v>8999850</v>
      </c>
      <c r="O452" s="27">
        <v>234</v>
      </c>
      <c r="P452" s="46">
        <f t="shared" si="39"/>
        <v>0.37000616676944614</v>
      </c>
      <c r="Q452" s="27">
        <v>41</v>
      </c>
      <c r="R452" s="44">
        <f t="shared" ref="R452:R515" si="42">N452*Q452</f>
        <v>368993850</v>
      </c>
      <c r="S452" s="29">
        <v>0.09</v>
      </c>
      <c r="T452" s="44">
        <f t="shared" si="40"/>
        <v>335784403.5</v>
      </c>
      <c r="U452" s="44">
        <f t="shared" si="41"/>
        <v>103320553.5</v>
      </c>
      <c r="V452" s="44"/>
    </row>
    <row r="453" spans="1:22" ht="14.5" x14ac:dyDescent="0.35">
      <c r="A453" s="47" t="str">
        <f t="shared" ref="A453:A516" si="43">_xlfn.CONCAT(F453,"-",LEFT(D453,1),MID(D453,FIND(" ",D453)+1,1),"-",G453,"-",C453)</f>
        <v>SBY-KS-E1039-2018</v>
      </c>
      <c r="B453" s="26">
        <v>43411</v>
      </c>
      <c r="C453" s="42">
        <v>2018</v>
      </c>
      <c r="D453" s="27" t="s">
        <v>102</v>
      </c>
      <c r="E453" s="27" t="s">
        <v>41</v>
      </c>
      <c r="F453" s="42" t="str" cm="1">
        <f t="array" ref="F453">_xlfn.IFS(E453="Bandung","BDG",E453="Surabaya","SBY",E453="Jakarta","JKT")</f>
        <v>SBY</v>
      </c>
      <c r="G453" s="27" t="s">
        <v>103</v>
      </c>
      <c r="H453" s="27" t="s">
        <v>76</v>
      </c>
      <c r="I453" s="27" t="s">
        <v>35</v>
      </c>
      <c r="J453" s="26">
        <v>43323</v>
      </c>
      <c r="K453" s="26">
        <v>43412</v>
      </c>
      <c r="L453" s="27">
        <f t="shared" ref="L453:L516" si="44">K453-B453</f>
        <v>1</v>
      </c>
      <c r="M453" s="45">
        <v>68850</v>
      </c>
      <c r="N453" s="45">
        <v>109200</v>
      </c>
      <c r="O453" s="27">
        <v>220</v>
      </c>
      <c r="P453" s="46">
        <f t="shared" ref="P453:P516" si="45">(N453-M453)/N453</f>
        <v>0.36950549450549453</v>
      </c>
      <c r="Q453" s="27">
        <v>20</v>
      </c>
      <c r="R453" s="44">
        <f t="shared" si="42"/>
        <v>2184000</v>
      </c>
      <c r="S453" s="29">
        <v>0.1</v>
      </c>
      <c r="T453" s="44">
        <f t="shared" ref="T453:T516" si="46">R453*(1-S453)</f>
        <v>1965600</v>
      </c>
      <c r="U453" s="44">
        <f t="shared" ref="U453:U516" si="47">T453-(M453*Q453)</f>
        <v>588600</v>
      </c>
      <c r="V453" s="44"/>
    </row>
    <row r="454" spans="1:22" ht="14.5" x14ac:dyDescent="0.35">
      <c r="A454" s="47" t="str">
        <f t="shared" si="43"/>
        <v>SBY-KS-E1039-2020</v>
      </c>
      <c r="B454" s="26">
        <v>43900</v>
      </c>
      <c r="C454" s="42">
        <v>2020</v>
      </c>
      <c r="D454" s="27" t="s">
        <v>102</v>
      </c>
      <c r="E454" s="27" t="s">
        <v>41</v>
      </c>
      <c r="F454" s="42" t="str" cm="1">
        <f t="array" ref="F454">_xlfn.IFS(E454="Bandung","BDG",E454="Surabaya","SBY",E454="Jakarta","JKT")</f>
        <v>SBY</v>
      </c>
      <c r="G454" s="27" t="s">
        <v>103</v>
      </c>
      <c r="H454" s="27" t="s">
        <v>180</v>
      </c>
      <c r="I454" s="27" t="s">
        <v>35</v>
      </c>
      <c r="J454" s="26">
        <v>43902</v>
      </c>
      <c r="K454" s="26">
        <v>44168</v>
      </c>
      <c r="L454" s="27">
        <f t="shared" si="44"/>
        <v>268</v>
      </c>
      <c r="M454" s="45">
        <v>51000</v>
      </c>
      <c r="N454" s="45">
        <v>81000</v>
      </c>
      <c r="O454" s="27">
        <v>181</v>
      </c>
      <c r="P454" s="46">
        <f t="shared" si="45"/>
        <v>0.37037037037037035</v>
      </c>
      <c r="Q454" s="27">
        <v>1</v>
      </c>
      <c r="R454" s="44">
        <f t="shared" si="42"/>
        <v>81000</v>
      </c>
      <c r="S454" s="29">
        <v>0</v>
      </c>
      <c r="T454" s="44">
        <f t="shared" si="46"/>
        <v>81000</v>
      </c>
      <c r="U454" s="44">
        <f t="shared" si="47"/>
        <v>30000</v>
      </c>
      <c r="V454" s="44"/>
    </row>
    <row r="455" spans="1:22" ht="14.5" x14ac:dyDescent="0.35">
      <c r="A455" s="47" t="str">
        <f t="shared" si="43"/>
        <v>SBY-KS-E1037-2017</v>
      </c>
      <c r="B455" s="26">
        <v>42869</v>
      </c>
      <c r="C455" s="42">
        <v>2017</v>
      </c>
      <c r="D455" s="27" t="s">
        <v>359</v>
      </c>
      <c r="E455" s="27" t="s">
        <v>41</v>
      </c>
      <c r="F455" s="42" t="str" cm="1">
        <f t="array" ref="F455">_xlfn.IFS(E455="Bandung","BDG",E455="Surabaya","SBY",E455="Jakarta","JKT")</f>
        <v>SBY</v>
      </c>
      <c r="G455" s="27" t="s">
        <v>83</v>
      </c>
      <c r="H455" s="27" t="s">
        <v>156</v>
      </c>
      <c r="I455" s="27" t="s">
        <v>39</v>
      </c>
      <c r="J455" s="26">
        <v>42871</v>
      </c>
      <c r="K455" s="26">
        <v>42871</v>
      </c>
      <c r="L455" s="27">
        <f t="shared" si="44"/>
        <v>2</v>
      </c>
      <c r="M455" s="45">
        <v>52200</v>
      </c>
      <c r="N455" s="45">
        <v>81450</v>
      </c>
      <c r="O455" s="27">
        <v>103</v>
      </c>
      <c r="P455" s="46">
        <f t="shared" si="45"/>
        <v>0.35911602209944754</v>
      </c>
      <c r="Q455" s="27">
        <v>2</v>
      </c>
      <c r="R455" s="44">
        <f t="shared" si="42"/>
        <v>162900</v>
      </c>
      <c r="S455" s="29">
        <v>0.1</v>
      </c>
      <c r="T455" s="44">
        <f t="shared" si="46"/>
        <v>146610</v>
      </c>
      <c r="U455" s="44">
        <f t="shared" si="47"/>
        <v>42210</v>
      </c>
      <c r="V455" s="44"/>
    </row>
    <row r="456" spans="1:22" ht="14.5" x14ac:dyDescent="0.35">
      <c r="A456" s="47" t="str">
        <f t="shared" si="43"/>
        <v>SBY-KS-E1037-2019</v>
      </c>
      <c r="B456" s="26">
        <v>43640</v>
      </c>
      <c r="C456" s="42">
        <v>2019</v>
      </c>
      <c r="D456" s="27" t="s">
        <v>359</v>
      </c>
      <c r="E456" s="27" t="s">
        <v>41</v>
      </c>
      <c r="F456" s="42" t="str" cm="1">
        <f t="array" ref="F456">_xlfn.IFS(E456="Bandung","BDG",E456="Surabaya","SBY",E456="Jakarta","JKT")</f>
        <v>SBY</v>
      </c>
      <c r="G456" s="27" t="s">
        <v>83</v>
      </c>
      <c r="H456" s="27" t="s">
        <v>276</v>
      </c>
      <c r="I456" s="27" t="s">
        <v>35</v>
      </c>
      <c r="J456" s="26">
        <v>43642</v>
      </c>
      <c r="K456" s="26">
        <v>43642</v>
      </c>
      <c r="L456" s="27">
        <f t="shared" si="44"/>
        <v>2</v>
      </c>
      <c r="M456" s="45">
        <v>224250</v>
      </c>
      <c r="N456" s="45">
        <v>521399.99999999994</v>
      </c>
      <c r="O456" s="27">
        <v>129</v>
      </c>
      <c r="P456" s="46">
        <f t="shared" si="45"/>
        <v>0.56990794016110469</v>
      </c>
      <c r="Q456" s="27">
        <v>27</v>
      </c>
      <c r="R456" s="44">
        <f t="shared" si="42"/>
        <v>14077799.999999998</v>
      </c>
      <c r="S456" s="29">
        <v>0.1</v>
      </c>
      <c r="T456" s="44">
        <f t="shared" si="46"/>
        <v>12670019.999999998</v>
      </c>
      <c r="U456" s="44">
        <f t="shared" si="47"/>
        <v>6615269.9999999981</v>
      </c>
      <c r="V456" s="44"/>
    </row>
    <row r="457" spans="1:22" ht="14.5" x14ac:dyDescent="0.35">
      <c r="A457" s="47" t="str">
        <f t="shared" si="43"/>
        <v>SBY-KS-E1037-2019</v>
      </c>
      <c r="B457" s="26">
        <v>43828</v>
      </c>
      <c r="C457" s="42">
        <v>2019</v>
      </c>
      <c r="D457" s="27" t="s">
        <v>359</v>
      </c>
      <c r="E457" s="27" t="s">
        <v>41</v>
      </c>
      <c r="F457" s="42" t="str" cm="1">
        <f t="array" ref="F457">_xlfn.IFS(E457="Bandung","BDG",E457="Surabaya","SBY",E457="Jakarta","JKT")</f>
        <v>SBY</v>
      </c>
      <c r="G457" s="27" t="s">
        <v>83</v>
      </c>
      <c r="H457" s="27" t="s">
        <v>349</v>
      </c>
      <c r="I457" s="27" t="s">
        <v>46</v>
      </c>
      <c r="J457" s="26">
        <v>43829</v>
      </c>
      <c r="K457" s="26">
        <v>43829</v>
      </c>
      <c r="L457" s="27">
        <f t="shared" si="44"/>
        <v>1</v>
      </c>
      <c r="M457" s="45">
        <v>3294150</v>
      </c>
      <c r="N457" s="45">
        <v>8034600</v>
      </c>
      <c r="O457" s="27">
        <v>44</v>
      </c>
      <c r="P457" s="46">
        <f t="shared" si="45"/>
        <v>0.59000448062131283</v>
      </c>
      <c r="Q457" s="27">
        <v>44</v>
      </c>
      <c r="R457" s="44">
        <f t="shared" si="42"/>
        <v>353522400</v>
      </c>
      <c r="S457" s="29">
        <v>0.03</v>
      </c>
      <c r="T457" s="44">
        <f t="shared" si="46"/>
        <v>342916728</v>
      </c>
      <c r="U457" s="44">
        <f t="shared" si="47"/>
        <v>197974128</v>
      </c>
      <c r="V457" s="44"/>
    </row>
    <row r="458" spans="1:22" ht="14.5" x14ac:dyDescent="0.35">
      <c r="A458" s="47" t="str">
        <f t="shared" si="43"/>
        <v>SBY-KA-E1030-2018</v>
      </c>
      <c r="B458" s="26">
        <v>43287</v>
      </c>
      <c r="C458" s="42">
        <v>2018</v>
      </c>
      <c r="D458" s="27" t="s">
        <v>564</v>
      </c>
      <c r="E458" s="27" t="s">
        <v>41</v>
      </c>
      <c r="F458" s="42" t="str" cm="1">
        <f t="array" ref="F458">_xlfn.IFS(E458="Bandung","BDG",E458="Surabaya","SBY",E458="Jakarta","JKT")</f>
        <v>SBY</v>
      </c>
      <c r="G458" s="27" t="s">
        <v>42</v>
      </c>
      <c r="H458" s="27" t="s">
        <v>309</v>
      </c>
      <c r="I458" s="27" t="s">
        <v>35</v>
      </c>
      <c r="J458" s="26">
        <v>43319</v>
      </c>
      <c r="K458" s="26">
        <v>43289</v>
      </c>
      <c r="L458" s="27">
        <f t="shared" si="44"/>
        <v>2</v>
      </c>
      <c r="M458" s="45">
        <v>50550</v>
      </c>
      <c r="N458" s="45">
        <v>82950</v>
      </c>
      <c r="O458" s="27">
        <v>101</v>
      </c>
      <c r="P458" s="46">
        <f t="shared" si="45"/>
        <v>0.39059674502712477</v>
      </c>
      <c r="Q458" s="27">
        <v>23</v>
      </c>
      <c r="R458" s="44">
        <f t="shared" si="42"/>
        <v>1907850</v>
      </c>
      <c r="S458" s="29">
        <v>0.1</v>
      </c>
      <c r="T458" s="44">
        <f t="shared" si="46"/>
        <v>1717065</v>
      </c>
      <c r="U458" s="44">
        <f t="shared" si="47"/>
        <v>554415</v>
      </c>
      <c r="V458" s="44"/>
    </row>
    <row r="459" spans="1:22" ht="14.5" x14ac:dyDescent="0.35">
      <c r="A459" s="47" t="str">
        <f t="shared" si="43"/>
        <v>SBY-KA-E1030-2018</v>
      </c>
      <c r="B459" s="26">
        <v>43423</v>
      </c>
      <c r="C459" s="42">
        <v>2018</v>
      </c>
      <c r="D459" s="27" t="s">
        <v>564</v>
      </c>
      <c r="E459" s="27" t="s">
        <v>41</v>
      </c>
      <c r="F459" s="42" t="str" cm="1">
        <f t="array" ref="F459">_xlfn.IFS(E459="Bandung","BDG",E459="Surabaya","SBY",E459="Jakarta","JKT")</f>
        <v>SBY</v>
      </c>
      <c r="G459" s="27" t="s">
        <v>42</v>
      </c>
      <c r="H459" s="27" t="s">
        <v>364</v>
      </c>
      <c r="I459" s="27" t="s">
        <v>39</v>
      </c>
      <c r="J459" s="26">
        <v>43424</v>
      </c>
      <c r="K459" s="26">
        <v>43424</v>
      </c>
      <c r="L459" s="27">
        <f t="shared" si="44"/>
        <v>1</v>
      </c>
      <c r="M459" s="45">
        <v>38850</v>
      </c>
      <c r="N459" s="45">
        <v>59700</v>
      </c>
      <c r="O459" s="27">
        <v>90</v>
      </c>
      <c r="P459" s="46">
        <f t="shared" si="45"/>
        <v>0.34924623115577891</v>
      </c>
      <c r="Q459" s="27">
        <v>16</v>
      </c>
      <c r="R459" s="44">
        <f t="shared" si="42"/>
        <v>955200</v>
      </c>
      <c r="S459" s="29">
        <v>0.09</v>
      </c>
      <c r="T459" s="44">
        <f t="shared" si="46"/>
        <v>869232</v>
      </c>
      <c r="U459" s="44">
        <f t="shared" si="47"/>
        <v>247632</v>
      </c>
      <c r="V459" s="44"/>
    </row>
    <row r="460" spans="1:22" ht="14.5" x14ac:dyDescent="0.35">
      <c r="A460" s="47" t="str">
        <f t="shared" si="43"/>
        <v>SBY-KA-E1030-2019</v>
      </c>
      <c r="B460" s="26">
        <v>43753</v>
      </c>
      <c r="C460" s="42">
        <v>2019</v>
      </c>
      <c r="D460" s="27" t="s">
        <v>564</v>
      </c>
      <c r="E460" s="27" t="s">
        <v>41</v>
      </c>
      <c r="F460" s="42" t="str" cm="1">
        <f t="array" ref="F460">_xlfn.IFS(E460="Bandung","BDG",E460="Surabaya","SBY",E460="Jakarta","JKT")</f>
        <v>SBY</v>
      </c>
      <c r="G460" s="27" t="s">
        <v>42</v>
      </c>
      <c r="H460" s="27" t="s">
        <v>178</v>
      </c>
      <c r="I460" s="27" t="s">
        <v>39</v>
      </c>
      <c r="J460" s="26">
        <v>43755</v>
      </c>
      <c r="K460" s="26">
        <v>43755</v>
      </c>
      <c r="L460" s="27">
        <f t="shared" si="44"/>
        <v>2</v>
      </c>
      <c r="M460" s="45">
        <v>24000</v>
      </c>
      <c r="N460" s="45">
        <v>39300</v>
      </c>
      <c r="O460" s="27">
        <v>231</v>
      </c>
      <c r="P460" s="46">
        <f t="shared" si="45"/>
        <v>0.38931297709923662</v>
      </c>
      <c r="Q460" s="27">
        <v>16</v>
      </c>
      <c r="R460" s="44">
        <f t="shared" si="42"/>
        <v>628800</v>
      </c>
      <c r="S460" s="29">
        <v>0.09</v>
      </c>
      <c r="T460" s="44">
        <f t="shared" si="46"/>
        <v>572208</v>
      </c>
      <c r="U460" s="44">
        <f t="shared" si="47"/>
        <v>188208</v>
      </c>
      <c r="V460" s="44"/>
    </row>
    <row r="461" spans="1:22" ht="14.5" x14ac:dyDescent="0.35">
      <c r="A461" s="47" t="str">
        <f t="shared" si="43"/>
        <v>JKT-KN-E1029-2016</v>
      </c>
      <c r="B461" s="26">
        <v>42583</v>
      </c>
      <c r="C461" s="42">
        <v>2016</v>
      </c>
      <c r="D461" s="27" t="s">
        <v>90</v>
      </c>
      <c r="E461" s="27" t="s">
        <v>32</v>
      </c>
      <c r="F461" s="42" t="str" cm="1">
        <f t="array" ref="F461">_xlfn.IFS(E461="Bandung","BDG",E461="Surabaya","SBY",E461="Jakarta","JKT")</f>
        <v>JKT</v>
      </c>
      <c r="G461" s="27" t="s">
        <v>37</v>
      </c>
      <c r="H461" s="27" t="s">
        <v>61</v>
      </c>
      <c r="I461" s="27" t="s">
        <v>35</v>
      </c>
      <c r="J461" s="26">
        <v>42584</v>
      </c>
      <c r="K461" s="26">
        <v>42408</v>
      </c>
      <c r="L461" s="27">
        <f t="shared" si="44"/>
        <v>-175</v>
      </c>
      <c r="M461" s="45">
        <v>79950</v>
      </c>
      <c r="N461" s="45">
        <v>129000</v>
      </c>
      <c r="O461" s="27">
        <v>123</v>
      </c>
      <c r="P461" s="46">
        <f t="shared" si="45"/>
        <v>0.38023255813953488</v>
      </c>
      <c r="Q461" s="27">
        <v>36</v>
      </c>
      <c r="R461" s="44">
        <f t="shared" si="42"/>
        <v>4644000</v>
      </c>
      <c r="S461" s="29">
        <v>0.06</v>
      </c>
      <c r="T461" s="44">
        <f t="shared" si="46"/>
        <v>4365360</v>
      </c>
      <c r="U461" s="44">
        <f t="shared" si="47"/>
        <v>1487160</v>
      </c>
      <c r="V461" s="44"/>
    </row>
    <row r="462" spans="1:22" ht="14.5" x14ac:dyDescent="0.35">
      <c r="A462" s="47" t="str">
        <f t="shared" si="43"/>
        <v>JKT-KN-E1029-2016</v>
      </c>
      <c r="B462" s="26">
        <v>42665</v>
      </c>
      <c r="C462" s="42">
        <v>2016</v>
      </c>
      <c r="D462" s="27" t="s">
        <v>90</v>
      </c>
      <c r="E462" s="27" t="s">
        <v>32</v>
      </c>
      <c r="F462" s="42" t="str" cm="1">
        <f t="array" ref="F462">_xlfn.IFS(E462="Bandung","BDG",E462="Surabaya","SBY",E462="Jakarta","JKT")</f>
        <v>JKT</v>
      </c>
      <c r="G462" s="27" t="s">
        <v>37</v>
      </c>
      <c r="H462" s="27" t="s">
        <v>199</v>
      </c>
      <c r="I462" s="27" t="s">
        <v>39</v>
      </c>
      <c r="J462" s="26" t="s">
        <v>1573</v>
      </c>
      <c r="K462" s="26">
        <v>42668</v>
      </c>
      <c r="L462" s="27">
        <f t="shared" si="44"/>
        <v>3</v>
      </c>
      <c r="M462" s="45">
        <v>65550</v>
      </c>
      <c r="N462" s="45">
        <v>136650</v>
      </c>
      <c r="O462" s="27">
        <v>106</v>
      </c>
      <c r="P462" s="46">
        <f t="shared" si="45"/>
        <v>0.52030735455543364</v>
      </c>
      <c r="Q462" s="27">
        <v>6</v>
      </c>
      <c r="R462" s="44">
        <f t="shared" si="42"/>
        <v>819900</v>
      </c>
      <c r="S462" s="29">
        <v>0.04</v>
      </c>
      <c r="T462" s="44">
        <f t="shared" si="46"/>
        <v>787104</v>
      </c>
      <c r="U462" s="44">
        <f t="shared" si="47"/>
        <v>393804</v>
      </c>
      <c r="V462" s="44"/>
    </row>
    <row r="463" spans="1:22" ht="14.5" x14ac:dyDescent="0.35">
      <c r="A463" s="47" t="str">
        <f t="shared" si="43"/>
        <v>JKT-KN-E1029-2019</v>
      </c>
      <c r="B463" s="26">
        <v>43547</v>
      </c>
      <c r="C463" s="42">
        <v>2019</v>
      </c>
      <c r="D463" s="27" t="s">
        <v>90</v>
      </c>
      <c r="E463" s="27" t="s">
        <v>32</v>
      </c>
      <c r="F463" s="42" t="str" cm="1">
        <f t="array" ref="F463">_xlfn.IFS(E463="Bandung","BDG",E463="Surabaya","SBY",E463="Jakarta","JKT")</f>
        <v>JKT</v>
      </c>
      <c r="G463" s="27" t="s">
        <v>37</v>
      </c>
      <c r="H463" s="27" t="s">
        <v>51</v>
      </c>
      <c r="I463" s="27" t="s">
        <v>39</v>
      </c>
      <c r="J463" s="26">
        <v>43547</v>
      </c>
      <c r="K463" s="26">
        <v>43547</v>
      </c>
      <c r="L463" s="27">
        <f t="shared" si="44"/>
        <v>0</v>
      </c>
      <c r="M463" s="45">
        <v>16350.000000000002</v>
      </c>
      <c r="N463" s="45">
        <v>39000</v>
      </c>
      <c r="O463" s="27">
        <v>194</v>
      </c>
      <c r="P463" s="46">
        <f t="shared" si="45"/>
        <v>0.58076923076923082</v>
      </c>
      <c r="Q463" s="27">
        <v>14</v>
      </c>
      <c r="R463" s="44">
        <f t="shared" si="42"/>
        <v>546000</v>
      </c>
      <c r="S463" s="29">
        <v>0.08</v>
      </c>
      <c r="T463" s="44">
        <f t="shared" si="46"/>
        <v>502320</v>
      </c>
      <c r="U463" s="44">
        <f t="shared" si="47"/>
        <v>273420</v>
      </c>
      <c r="V463" s="44"/>
    </row>
    <row r="464" spans="1:22" ht="14.5" x14ac:dyDescent="0.35">
      <c r="A464" s="47" t="str">
        <f t="shared" si="43"/>
        <v>SBY-KS-E1039-2019</v>
      </c>
      <c r="B464" s="26">
        <v>43538</v>
      </c>
      <c r="C464" s="42">
        <v>2019</v>
      </c>
      <c r="D464" s="27" t="s">
        <v>645</v>
      </c>
      <c r="E464" s="27" t="s">
        <v>41</v>
      </c>
      <c r="F464" s="42" t="str" cm="1">
        <f t="array" ref="F464">_xlfn.IFS(E464="Bandung","BDG",E464="Surabaya","SBY",E464="Jakarta","JKT")</f>
        <v>SBY</v>
      </c>
      <c r="G464" s="27" t="s">
        <v>103</v>
      </c>
      <c r="H464" s="27" t="s">
        <v>199</v>
      </c>
      <c r="I464" s="27" t="s">
        <v>39</v>
      </c>
      <c r="J464" s="26" t="s">
        <v>1722</v>
      </c>
      <c r="K464" s="26">
        <v>43539</v>
      </c>
      <c r="L464" s="27">
        <f t="shared" si="44"/>
        <v>1</v>
      </c>
      <c r="M464" s="45">
        <v>65550</v>
      </c>
      <c r="N464" s="45">
        <v>136650</v>
      </c>
      <c r="O464" s="27">
        <v>100</v>
      </c>
      <c r="P464" s="46">
        <f t="shared" si="45"/>
        <v>0.52030735455543364</v>
      </c>
      <c r="Q464" s="27">
        <v>30</v>
      </c>
      <c r="R464" s="44">
        <f t="shared" si="42"/>
        <v>4099500</v>
      </c>
      <c r="S464" s="29">
        <v>0.03</v>
      </c>
      <c r="T464" s="44">
        <f t="shared" si="46"/>
        <v>3976515</v>
      </c>
      <c r="U464" s="44">
        <f t="shared" si="47"/>
        <v>2010015</v>
      </c>
      <c r="V464" s="44"/>
    </row>
    <row r="465" spans="1:22" ht="14.5" x14ac:dyDescent="0.35">
      <c r="A465" s="47" t="str">
        <f t="shared" si="43"/>
        <v>SBY-KP-E1038-2017</v>
      </c>
      <c r="B465" s="26">
        <v>42927</v>
      </c>
      <c r="C465" s="42">
        <v>2017</v>
      </c>
      <c r="D465" s="27" t="s">
        <v>394</v>
      </c>
      <c r="E465" s="27" t="s">
        <v>41</v>
      </c>
      <c r="F465" s="42" t="str" cm="1">
        <f t="array" ref="F465">_xlfn.IFS(E465="Bandung","BDG",E465="Surabaya","SBY",E465="Jakarta","JKT")</f>
        <v>SBY</v>
      </c>
      <c r="G465" s="27" t="s">
        <v>98</v>
      </c>
      <c r="H465" s="27" t="s">
        <v>293</v>
      </c>
      <c r="I465" s="27" t="s">
        <v>35</v>
      </c>
      <c r="J465" s="26">
        <v>43076</v>
      </c>
      <c r="K465" s="26">
        <v>42928</v>
      </c>
      <c r="L465" s="27">
        <f t="shared" si="44"/>
        <v>1</v>
      </c>
      <c r="M465" s="45">
        <v>67950</v>
      </c>
      <c r="N465" s="45">
        <v>109500</v>
      </c>
      <c r="O465" s="27">
        <v>233</v>
      </c>
      <c r="P465" s="46">
        <f t="shared" si="45"/>
        <v>0.37945205479452054</v>
      </c>
      <c r="Q465" s="27">
        <v>18</v>
      </c>
      <c r="R465" s="44">
        <f t="shared" si="42"/>
        <v>1971000</v>
      </c>
      <c r="S465" s="29">
        <v>0.05</v>
      </c>
      <c r="T465" s="44">
        <f t="shared" si="46"/>
        <v>1872450</v>
      </c>
      <c r="U465" s="44">
        <f t="shared" si="47"/>
        <v>649350</v>
      </c>
      <c r="V465" s="44"/>
    </row>
    <row r="466" spans="1:22" ht="14.5" x14ac:dyDescent="0.35">
      <c r="A466" s="47" t="str">
        <f t="shared" si="43"/>
        <v>SBY-KP-E1038-2019</v>
      </c>
      <c r="B466" s="26">
        <v>43611</v>
      </c>
      <c r="C466" s="42">
        <v>2019</v>
      </c>
      <c r="D466" s="27" t="s">
        <v>394</v>
      </c>
      <c r="E466" s="27" t="s">
        <v>41</v>
      </c>
      <c r="F466" s="42" t="str" cm="1">
        <f t="array" ref="F466">_xlfn.IFS(E466="Bandung","BDG",E466="Surabaya","SBY",E466="Jakarta","JKT")</f>
        <v>SBY</v>
      </c>
      <c r="G466" s="27" t="s">
        <v>98</v>
      </c>
      <c r="H466" s="27" t="s">
        <v>282</v>
      </c>
      <c r="I466" s="27" t="s">
        <v>35</v>
      </c>
      <c r="J466" s="26" t="s">
        <v>1731</v>
      </c>
      <c r="K466" s="26">
        <v>43613</v>
      </c>
      <c r="L466" s="27">
        <f t="shared" si="44"/>
        <v>2</v>
      </c>
      <c r="M466" s="45">
        <v>619200</v>
      </c>
      <c r="N466" s="45">
        <v>1439850</v>
      </c>
      <c r="O466" s="27">
        <v>71</v>
      </c>
      <c r="P466" s="46">
        <f t="shared" si="45"/>
        <v>0.56995520366704866</v>
      </c>
      <c r="Q466" s="27">
        <v>14</v>
      </c>
      <c r="R466" s="44">
        <f t="shared" si="42"/>
        <v>20157900</v>
      </c>
      <c r="S466" s="29">
        <v>0.04</v>
      </c>
      <c r="T466" s="44">
        <f t="shared" si="46"/>
        <v>19351584</v>
      </c>
      <c r="U466" s="44">
        <f t="shared" si="47"/>
        <v>10682784</v>
      </c>
      <c r="V466" s="44"/>
    </row>
    <row r="467" spans="1:22" ht="14.5" x14ac:dyDescent="0.35">
      <c r="A467" s="47" t="str">
        <f t="shared" si="43"/>
        <v>SBY-KH-E1030-2019</v>
      </c>
      <c r="B467" s="26">
        <v>43498</v>
      </c>
      <c r="C467" s="42">
        <v>2019</v>
      </c>
      <c r="D467" s="27" t="s">
        <v>636</v>
      </c>
      <c r="E467" s="27" t="s">
        <v>41</v>
      </c>
      <c r="F467" s="42" t="str" cm="1">
        <f t="array" ref="F467">_xlfn.IFS(E467="Bandung","BDG",E467="Surabaya","SBY",E467="Jakarta","JKT")</f>
        <v>SBY</v>
      </c>
      <c r="G467" s="27" t="s">
        <v>42</v>
      </c>
      <c r="H467" s="27" t="s">
        <v>138</v>
      </c>
      <c r="I467" s="27" t="s">
        <v>35</v>
      </c>
      <c r="J467" s="26">
        <v>43557</v>
      </c>
      <c r="K467" s="26">
        <v>43500</v>
      </c>
      <c r="L467" s="27">
        <f t="shared" si="44"/>
        <v>2</v>
      </c>
      <c r="M467" s="45">
        <v>17700</v>
      </c>
      <c r="N467" s="45">
        <v>28200</v>
      </c>
      <c r="O467" s="27">
        <v>214</v>
      </c>
      <c r="P467" s="46">
        <f t="shared" si="45"/>
        <v>0.37234042553191488</v>
      </c>
      <c r="Q467" s="27">
        <v>6</v>
      </c>
      <c r="R467" s="44">
        <f t="shared" si="42"/>
        <v>169200</v>
      </c>
      <c r="S467" s="29">
        <v>7.0000000000000007E-2</v>
      </c>
      <c r="T467" s="44">
        <f t="shared" si="46"/>
        <v>157356</v>
      </c>
      <c r="U467" s="44">
        <f t="shared" si="47"/>
        <v>51156</v>
      </c>
      <c r="V467" s="44"/>
    </row>
    <row r="468" spans="1:22" ht="14.5" x14ac:dyDescent="0.35">
      <c r="A468" s="47" t="str">
        <f t="shared" si="43"/>
        <v>SBY-KH-E1030-2019</v>
      </c>
      <c r="B468" s="26">
        <v>43658</v>
      </c>
      <c r="C468" s="42">
        <v>2019</v>
      </c>
      <c r="D468" s="27" t="s">
        <v>636</v>
      </c>
      <c r="E468" s="27" t="s">
        <v>41</v>
      </c>
      <c r="F468" s="42" t="str" cm="1">
        <f t="array" ref="F468">_xlfn.IFS(E468="Bandung","BDG",E468="Surabaya","SBY",E468="Jakarta","JKT")</f>
        <v>SBY</v>
      </c>
      <c r="G468" s="27" t="s">
        <v>42</v>
      </c>
      <c r="H468" s="27" t="s">
        <v>251</v>
      </c>
      <c r="I468" s="27" t="s">
        <v>73</v>
      </c>
      <c r="J468" s="26" t="s">
        <v>1735</v>
      </c>
      <c r="K468" s="26">
        <v>43659</v>
      </c>
      <c r="L468" s="27">
        <f t="shared" si="44"/>
        <v>1</v>
      </c>
      <c r="M468" s="45">
        <v>77850</v>
      </c>
      <c r="N468" s="45">
        <v>194700</v>
      </c>
      <c r="O468" s="27">
        <v>216</v>
      </c>
      <c r="P468" s="46">
        <f t="shared" si="45"/>
        <v>0.60015408320493069</v>
      </c>
      <c r="Q468" s="27">
        <v>45</v>
      </c>
      <c r="R468" s="44">
        <f t="shared" si="42"/>
        <v>8761500</v>
      </c>
      <c r="S468" s="29">
        <v>0.05</v>
      </c>
      <c r="T468" s="44">
        <f t="shared" si="46"/>
        <v>8323425</v>
      </c>
      <c r="U468" s="44">
        <f t="shared" si="47"/>
        <v>4820175</v>
      </c>
      <c r="V468" s="44"/>
    </row>
    <row r="469" spans="1:22" ht="14.5" x14ac:dyDescent="0.35">
      <c r="A469" s="47" t="str">
        <f t="shared" si="43"/>
        <v>SBY-KH-E1030-2019</v>
      </c>
      <c r="B469" s="26">
        <v>43793</v>
      </c>
      <c r="C469" s="42">
        <v>2019</v>
      </c>
      <c r="D469" s="27" t="s">
        <v>636</v>
      </c>
      <c r="E469" s="27" t="s">
        <v>41</v>
      </c>
      <c r="F469" s="42" t="str" cm="1">
        <f t="array" ref="F469">_xlfn.IFS(E469="Bandung","BDG",E469="Surabaya","SBY",E469="Jakarta","JKT")</f>
        <v>SBY</v>
      </c>
      <c r="G469" s="27" t="s">
        <v>42</v>
      </c>
      <c r="H469" s="27" t="s">
        <v>204</v>
      </c>
      <c r="I469" s="27" t="s">
        <v>39</v>
      </c>
      <c r="J469" s="26">
        <v>43795</v>
      </c>
      <c r="K469" s="26">
        <v>43795</v>
      </c>
      <c r="L469" s="27">
        <f t="shared" si="44"/>
        <v>2</v>
      </c>
      <c r="M469" s="45">
        <v>3600</v>
      </c>
      <c r="N469" s="45">
        <v>18900</v>
      </c>
      <c r="O469" s="27">
        <v>226</v>
      </c>
      <c r="P469" s="46">
        <f t="shared" si="45"/>
        <v>0.80952380952380953</v>
      </c>
      <c r="Q469" s="27">
        <v>34</v>
      </c>
      <c r="R469" s="44">
        <f t="shared" si="42"/>
        <v>642600</v>
      </c>
      <c r="S469" s="29">
        <v>0</v>
      </c>
      <c r="T469" s="44">
        <f t="shared" si="46"/>
        <v>642600</v>
      </c>
      <c r="U469" s="44">
        <f t="shared" si="47"/>
        <v>520200</v>
      </c>
      <c r="V469" s="44"/>
    </row>
    <row r="470" spans="1:22" ht="14.5" x14ac:dyDescent="0.35">
      <c r="A470" s="47" t="str">
        <f t="shared" si="43"/>
        <v>SBY-KB-E1037-2019</v>
      </c>
      <c r="B470" s="26">
        <v>43597</v>
      </c>
      <c r="C470" s="42">
        <v>2019</v>
      </c>
      <c r="D470" s="27" t="s">
        <v>653</v>
      </c>
      <c r="E470" s="27" t="s">
        <v>41</v>
      </c>
      <c r="F470" s="42" t="str" cm="1">
        <f t="array" ref="F470">_xlfn.IFS(E470="Bandung","BDG",E470="Surabaya","SBY",E470="Jakarta","JKT")</f>
        <v>SBY</v>
      </c>
      <c r="G470" s="27" t="s">
        <v>83</v>
      </c>
      <c r="H470" s="27" t="s">
        <v>101</v>
      </c>
      <c r="I470" s="27" t="s">
        <v>35</v>
      </c>
      <c r="J470" s="26">
        <v>43598</v>
      </c>
      <c r="K470" s="26">
        <v>43598</v>
      </c>
      <c r="L470" s="27">
        <f t="shared" si="44"/>
        <v>1</v>
      </c>
      <c r="M470" s="45">
        <v>594600</v>
      </c>
      <c r="N470" s="45">
        <v>2287200</v>
      </c>
      <c r="O470" s="27">
        <v>294</v>
      </c>
      <c r="P470" s="46">
        <f t="shared" si="45"/>
        <v>0.74003147953830006</v>
      </c>
      <c r="Q470" s="27">
        <v>27</v>
      </c>
      <c r="R470" s="44">
        <f t="shared" si="42"/>
        <v>61754400</v>
      </c>
      <c r="S470" s="29">
        <v>0.1</v>
      </c>
      <c r="T470" s="44">
        <f t="shared" si="46"/>
        <v>55578960</v>
      </c>
      <c r="U470" s="44">
        <f t="shared" si="47"/>
        <v>39524760</v>
      </c>
      <c r="V470" s="44"/>
    </row>
    <row r="471" spans="1:22" ht="14.5" x14ac:dyDescent="0.35">
      <c r="A471" s="47" t="str">
        <f t="shared" si="43"/>
        <v>SBY-KS-E1030-2016</v>
      </c>
      <c r="B471" s="26">
        <v>42654</v>
      </c>
      <c r="C471" s="42">
        <v>2016</v>
      </c>
      <c r="D471" s="27" t="s">
        <v>186</v>
      </c>
      <c r="E471" s="27" t="s">
        <v>41</v>
      </c>
      <c r="F471" s="42" t="str" cm="1">
        <f t="array" ref="F471">_xlfn.IFS(E471="Bandung","BDG",E471="Surabaya","SBY",E471="Jakarta","JKT")</f>
        <v>SBY</v>
      </c>
      <c r="G471" s="27" t="s">
        <v>42</v>
      </c>
      <c r="H471" s="27" t="s">
        <v>187</v>
      </c>
      <c r="I471" s="27" t="s">
        <v>120</v>
      </c>
      <c r="J471" s="26">
        <v>42656</v>
      </c>
      <c r="K471" s="26">
        <v>42656</v>
      </c>
      <c r="L471" s="27">
        <f t="shared" si="44"/>
        <v>2</v>
      </c>
      <c r="M471" s="45">
        <v>118800</v>
      </c>
      <c r="N471" s="45">
        <v>194850</v>
      </c>
      <c r="O471" s="27">
        <v>49</v>
      </c>
      <c r="P471" s="46">
        <f t="shared" si="45"/>
        <v>0.39030023094688221</v>
      </c>
      <c r="Q471" s="27">
        <v>49</v>
      </c>
      <c r="R471" s="44">
        <f t="shared" si="42"/>
        <v>9547650</v>
      </c>
      <c r="S471" s="29">
        <v>7.0000000000000007E-2</v>
      </c>
      <c r="T471" s="44">
        <f t="shared" si="46"/>
        <v>8879314.5</v>
      </c>
      <c r="U471" s="44">
        <f t="shared" si="47"/>
        <v>3058114.5</v>
      </c>
      <c r="V471" s="44"/>
    </row>
    <row r="472" spans="1:22" ht="14.5" x14ac:dyDescent="0.35">
      <c r="A472" s="47" t="str">
        <f t="shared" si="43"/>
        <v>JKT-KM-E1029-2017</v>
      </c>
      <c r="B472" s="26">
        <v>42880</v>
      </c>
      <c r="C472" s="42">
        <v>2017</v>
      </c>
      <c r="D472" s="27" t="s">
        <v>366</v>
      </c>
      <c r="E472" s="27" t="s">
        <v>32</v>
      </c>
      <c r="F472" s="42" t="str" cm="1">
        <f t="array" ref="F472">_xlfn.IFS(E472="Bandung","BDG",E472="Surabaya","SBY",E472="Jakarta","JKT")</f>
        <v>JKT</v>
      </c>
      <c r="G472" s="27" t="s">
        <v>37</v>
      </c>
      <c r="H472" s="27" t="s">
        <v>119</v>
      </c>
      <c r="I472" s="27" t="s">
        <v>120</v>
      </c>
      <c r="J472" s="26">
        <v>42881</v>
      </c>
      <c r="K472" s="26">
        <v>42881</v>
      </c>
      <c r="L472" s="27">
        <f t="shared" si="44"/>
        <v>1</v>
      </c>
      <c r="M472" s="45">
        <v>132300</v>
      </c>
      <c r="N472" s="45">
        <v>314850</v>
      </c>
      <c r="O472" s="27">
        <v>255</v>
      </c>
      <c r="P472" s="46">
        <f t="shared" si="45"/>
        <v>0.57979990471653164</v>
      </c>
      <c r="Q472" s="27">
        <v>42</v>
      </c>
      <c r="R472" s="44">
        <f t="shared" si="42"/>
        <v>13223700</v>
      </c>
      <c r="S472" s="29">
        <v>7.0000000000000007E-2</v>
      </c>
      <c r="T472" s="44">
        <f t="shared" si="46"/>
        <v>12298041</v>
      </c>
      <c r="U472" s="44">
        <f t="shared" si="47"/>
        <v>6741441</v>
      </c>
      <c r="V472" s="44"/>
    </row>
    <row r="473" spans="1:22" ht="14.5" x14ac:dyDescent="0.35">
      <c r="A473" s="47" t="str">
        <f t="shared" si="43"/>
        <v>JKT-KM-E1029-2017</v>
      </c>
      <c r="B473" s="26">
        <v>42911</v>
      </c>
      <c r="C473" s="42">
        <v>2017</v>
      </c>
      <c r="D473" s="27" t="s">
        <v>366</v>
      </c>
      <c r="E473" s="27" t="s">
        <v>32</v>
      </c>
      <c r="F473" s="42" t="str" cm="1">
        <f t="array" ref="F473">_xlfn.IFS(E473="Bandung","BDG",E473="Surabaya","SBY",E473="Jakarta","JKT")</f>
        <v>JKT</v>
      </c>
      <c r="G473" s="27" t="s">
        <v>37</v>
      </c>
      <c r="H473" s="27" t="s">
        <v>130</v>
      </c>
      <c r="I473" s="27" t="s">
        <v>39</v>
      </c>
      <c r="J473" s="26">
        <v>42911</v>
      </c>
      <c r="K473" s="26">
        <v>42911</v>
      </c>
      <c r="L473" s="27">
        <f t="shared" si="44"/>
        <v>0</v>
      </c>
      <c r="M473" s="45">
        <v>56250</v>
      </c>
      <c r="N473" s="45">
        <v>106200</v>
      </c>
      <c r="O473" s="27">
        <v>240</v>
      </c>
      <c r="P473" s="46">
        <f t="shared" si="45"/>
        <v>0.47033898305084748</v>
      </c>
      <c r="Q473" s="27">
        <v>34</v>
      </c>
      <c r="R473" s="44">
        <f t="shared" si="42"/>
        <v>3610800</v>
      </c>
      <c r="S473" s="29">
        <v>0.03</v>
      </c>
      <c r="T473" s="44">
        <f t="shared" si="46"/>
        <v>3502476</v>
      </c>
      <c r="U473" s="44">
        <f t="shared" si="47"/>
        <v>1589976</v>
      </c>
      <c r="V473" s="44"/>
    </row>
    <row r="474" spans="1:22" ht="14.5" x14ac:dyDescent="0.35">
      <c r="A474" s="47" t="str">
        <f t="shared" si="43"/>
        <v>JKT-KP-E1029-2017</v>
      </c>
      <c r="B474" s="26">
        <v>42748</v>
      </c>
      <c r="C474" s="42">
        <v>2017</v>
      </c>
      <c r="D474" s="27" t="s">
        <v>279</v>
      </c>
      <c r="E474" s="27" t="s">
        <v>32</v>
      </c>
      <c r="F474" s="42" t="str" cm="1">
        <f t="array" ref="F474">_xlfn.IFS(E474="Bandung","BDG",E474="Surabaya","SBY",E474="Jakarta","JKT")</f>
        <v>JKT</v>
      </c>
      <c r="G474" s="27" t="s">
        <v>37</v>
      </c>
      <c r="H474" s="27" t="s">
        <v>158</v>
      </c>
      <c r="I474" s="27" t="s">
        <v>73</v>
      </c>
      <c r="J474" s="26">
        <v>42749</v>
      </c>
      <c r="K474" s="26">
        <v>42749</v>
      </c>
      <c r="L474" s="27">
        <f t="shared" si="44"/>
        <v>1</v>
      </c>
      <c r="M474" s="45">
        <v>302700</v>
      </c>
      <c r="N474" s="45">
        <v>531150</v>
      </c>
      <c r="O474" s="27">
        <v>106</v>
      </c>
      <c r="P474" s="46">
        <f t="shared" si="45"/>
        <v>0.43010449025698955</v>
      </c>
      <c r="Q474" s="27">
        <v>16</v>
      </c>
      <c r="R474" s="44">
        <f t="shared" si="42"/>
        <v>8498400</v>
      </c>
      <c r="S474" s="29">
        <v>0</v>
      </c>
      <c r="T474" s="44">
        <f t="shared" si="46"/>
        <v>8498400</v>
      </c>
      <c r="U474" s="44">
        <f t="shared" si="47"/>
        <v>3655200</v>
      </c>
      <c r="V474" s="44"/>
    </row>
    <row r="475" spans="1:22" ht="14.5" x14ac:dyDescent="0.35">
      <c r="A475" s="47" t="str">
        <f t="shared" si="43"/>
        <v>SBY-KH-E1039-2018</v>
      </c>
      <c r="B475" s="26">
        <v>43414</v>
      </c>
      <c r="C475" s="42">
        <v>2018</v>
      </c>
      <c r="D475" s="27" t="s">
        <v>612</v>
      </c>
      <c r="E475" s="27" t="s">
        <v>41</v>
      </c>
      <c r="F475" s="42" t="str" cm="1">
        <f t="array" ref="F475">_xlfn.IFS(E475="Bandung","BDG",E475="Surabaya","SBY",E475="Jakarta","JKT")</f>
        <v>SBY</v>
      </c>
      <c r="G475" s="27" t="s">
        <v>103</v>
      </c>
      <c r="H475" s="27" t="s">
        <v>58</v>
      </c>
      <c r="I475" s="27" t="s">
        <v>35</v>
      </c>
      <c r="J475" s="26">
        <v>43415</v>
      </c>
      <c r="K475" s="26">
        <v>43415</v>
      </c>
      <c r="L475" s="27">
        <f t="shared" si="44"/>
        <v>1</v>
      </c>
      <c r="M475" s="45">
        <v>814350</v>
      </c>
      <c r="N475" s="45">
        <v>1357200</v>
      </c>
      <c r="O475" s="27">
        <v>107</v>
      </c>
      <c r="P475" s="46">
        <f t="shared" si="45"/>
        <v>0.39997789566755082</v>
      </c>
      <c r="Q475" s="27">
        <v>15</v>
      </c>
      <c r="R475" s="44">
        <f t="shared" si="42"/>
        <v>20358000</v>
      </c>
      <c r="S475" s="29">
        <v>0.01</v>
      </c>
      <c r="T475" s="44">
        <f t="shared" si="46"/>
        <v>20154420</v>
      </c>
      <c r="U475" s="44">
        <f t="shared" si="47"/>
        <v>7939170</v>
      </c>
      <c r="V475" s="44"/>
    </row>
    <row r="476" spans="1:22" ht="14.5" x14ac:dyDescent="0.35">
      <c r="A476" s="47" t="str">
        <f t="shared" si="43"/>
        <v>SBY-KA-E1037-2019</v>
      </c>
      <c r="B476" s="26">
        <v>43634</v>
      </c>
      <c r="C476" s="42">
        <v>2019</v>
      </c>
      <c r="D476" s="27" t="s">
        <v>662</v>
      </c>
      <c r="E476" s="27" t="s">
        <v>41</v>
      </c>
      <c r="F476" s="42" t="str" cm="1">
        <f t="array" ref="F476">_xlfn.IFS(E476="Bandung","BDG",E476="Surabaya","SBY",E476="Jakarta","JKT")</f>
        <v>SBY</v>
      </c>
      <c r="G476" s="27" t="s">
        <v>83</v>
      </c>
      <c r="H476" s="27" t="s">
        <v>326</v>
      </c>
      <c r="I476" s="27" t="s">
        <v>39</v>
      </c>
      <c r="J476" s="26">
        <v>43638</v>
      </c>
      <c r="K476" s="26">
        <v>43638</v>
      </c>
      <c r="L476" s="27">
        <f t="shared" si="44"/>
        <v>4</v>
      </c>
      <c r="M476" s="45">
        <v>13950</v>
      </c>
      <c r="N476" s="45">
        <v>24000</v>
      </c>
      <c r="O476" s="27">
        <v>107</v>
      </c>
      <c r="P476" s="46">
        <f t="shared" si="45"/>
        <v>0.41875000000000001</v>
      </c>
      <c r="Q476" s="27">
        <v>43</v>
      </c>
      <c r="R476" s="44">
        <f t="shared" si="42"/>
        <v>1032000</v>
      </c>
      <c r="S476" s="29">
        <v>0.01</v>
      </c>
      <c r="T476" s="44">
        <f t="shared" si="46"/>
        <v>1021680</v>
      </c>
      <c r="U476" s="44">
        <f t="shared" si="47"/>
        <v>421830</v>
      </c>
      <c r="V476" s="44"/>
    </row>
    <row r="477" spans="1:22" ht="14.5" x14ac:dyDescent="0.35">
      <c r="A477" s="47" t="str">
        <f t="shared" si="43"/>
        <v>SBY-KP-E1035-2019</v>
      </c>
      <c r="B477" s="26">
        <v>43709</v>
      </c>
      <c r="C477" s="42">
        <v>2019</v>
      </c>
      <c r="D477" s="27" t="s">
        <v>686</v>
      </c>
      <c r="E477" s="27" t="s">
        <v>41</v>
      </c>
      <c r="F477" s="42" t="str" cm="1">
        <f t="array" ref="F477">_xlfn.IFS(E477="Bandung","BDG",E477="Surabaya","SBY",E477="Jakarta","JKT")</f>
        <v>SBY</v>
      </c>
      <c r="G477" s="27" t="s">
        <v>71</v>
      </c>
      <c r="H477" s="27" t="s">
        <v>311</v>
      </c>
      <c r="I477" s="27" t="s">
        <v>39</v>
      </c>
      <c r="J477" s="26">
        <v>43710</v>
      </c>
      <c r="K477" s="26">
        <v>43505</v>
      </c>
      <c r="L477" s="27">
        <f t="shared" si="44"/>
        <v>-204</v>
      </c>
      <c r="M477" s="45">
        <v>26400</v>
      </c>
      <c r="N477" s="45">
        <v>44100</v>
      </c>
      <c r="O477" s="27">
        <v>139</v>
      </c>
      <c r="P477" s="46">
        <f t="shared" si="45"/>
        <v>0.40136054421768708</v>
      </c>
      <c r="Q477" s="27">
        <v>31</v>
      </c>
      <c r="R477" s="44">
        <f t="shared" si="42"/>
        <v>1367100</v>
      </c>
      <c r="S477" s="29">
        <v>0.04</v>
      </c>
      <c r="T477" s="44">
        <f t="shared" si="46"/>
        <v>1312416</v>
      </c>
      <c r="U477" s="44">
        <f t="shared" si="47"/>
        <v>494016</v>
      </c>
      <c r="V477" s="44"/>
    </row>
    <row r="478" spans="1:22" ht="14.5" x14ac:dyDescent="0.35">
      <c r="A478" s="47" t="str">
        <f t="shared" si="43"/>
        <v>SBY-KF-E1036-2016</v>
      </c>
      <c r="B478" s="26">
        <v>42609</v>
      </c>
      <c r="C478" s="42">
        <v>2016</v>
      </c>
      <c r="D478" s="27" t="s">
        <v>126</v>
      </c>
      <c r="E478" s="27" t="s">
        <v>41</v>
      </c>
      <c r="F478" s="42" t="str" cm="1">
        <f t="array" ref="F478">_xlfn.IFS(E478="Bandung","BDG",E478="Surabaya","SBY",E478="Jakarta","JKT")</f>
        <v>SBY</v>
      </c>
      <c r="G478" s="27" t="s">
        <v>78</v>
      </c>
      <c r="H478" s="27" t="s">
        <v>127</v>
      </c>
      <c r="I478" s="27" t="s">
        <v>35</v>
      </c>
      <c r="J478" s="26">
        <v>42610</v>
      </c>
      <c r="K478" s="26">
        <v>42610</v>
      </c>
      <c r="L478" s="27">
        <f t="shared" si="44"/>
        <v>1</v>
      </c>
      <c r="M478" s="45">
        <v>296700</v>
      </c>
      <c r="N478" s="45">
        <v>689850</v>
      </c>
      <c r="O478" s="27">
        <v>75</v>
      </c>
      <c r="P478" s="46">
        <f t="shared" si="45"/>
        <v>0.56990650141335075</v>
      </c>
      <c r="Q478" s="27">
        <v>14</v>
      </c>
      <c r="R478" s="44">
        <f t="shared" si="42"/>
        <v>9657900</v>
      </c>
      <c r="S478" s="29">
        <v>0.02</v>
      </c>
      <c r="T478" s="44">
        <f t="shared" si="46"/>
        <v>9464742</v>
      </c>
      <c r="U478" s="44">
        <f t="shared" si="47"/>
        <v>5310942</v>
      </c>
      <c r="V478" s="44"/>
    </row>
    <row r="479" spans="1:22" ht="14.5" x14ac:dyDescent="0.35">
      <c r="A479" s="47" t="str">
        <f t="shared" si="43"/>
        <v>SBY-KF-E1036-2018</v>
      </c>
      <c r="B479" s="26">
        <v>43216</v>
      </c>
      <c r="C479" s="42">
        <v>2018</v>
      </c>
      <c r="D479" s="27" t="s">
        <v>126</v>
      </c>
      <c r="E479" s="27" t="s">
        <v>41</v>
      </c>
      <c r="F479" s="42" t="str" cm="1">
        <f t="array" ref="F479">_xlfn.IFS(E479="Bandung","BDG",E479="Surabaya","SBY",E479="Jakarta","JKT")</f>
        <v>SBY</v>
      </c>
      <c r="G479" s="27" t="s">
        <v>78</v>
      </c>
      <c r="H479" s="27" t="s">
        <v>174</v>
      </c>
      <c r="I479" s="27" t="s">
        <v>39</v>
      </c>
      <c r="J479" s="26" t="s">
        <v>1660</v>
      </c>
      <c r="K479" s="26">
        <v>43217</v>
      </c>
      <c r="L479" s="27">
        <f t="shared" si="44"/>
        <v>1</v>
      </c>
      <c r="M479" s="45">
        <v>43500</v>
      </c>
      <c r="N479" s="45">
        <v>71400</v>
      </c>
      <c r="O479" s="27">
        <v>114</v>
      </c>
      <c r="P479" s="46">
        <f t="shared" si="45"/>
        <v>0.3907563025210084</v>
      </c>
      <c r="Q479" s="27">
        <v>42</v>
      </c>
      <c r="R479" s="44">
        <f t="shared" si="42"/>
        <v>2998800</v>
      </c>
      <c r="S479" s="29">
        <v>7.0000000000000007E-2</v>
      </c>
      <c r="T479" s="44">
        <f t="shared" si="46"/>
        <v>2788884</v>
      </c>
      <c r="U479" s="44">
        <f t="shared" si="47"/>
        <v>961884</v>
      </c>
      <c r="V479" s="44"/>
    </row>
    <row r="480" spans="1:22" ht="14.5" x14ac:dyDescent="0.35">
      <c r="A480" s="47" t="str">
        <f t="shared" si="43"/>
        <v>SBY-KF-E1036-2019</v>
      </c>
      <c r="B480" s="26">
        <v>43524</v>
      </c>
      <c r="C480" s="42">
        <v>2019</v>
      </c>
      <c r="D480" s="27" t="s">
        <v>126</v>
      </c>
      <c r="E480" s="27" t="s">
        <v>41</v>
      </c>
      <c r="F480" s="42" t="str" cm="1">
        <f t="array" ref="F480">_xlfn.IFS(E480="Bandung","BDG",E480="Surabaya","SBY",E480="Jakarta","JKT")</f>
        <v>SBY</v>
      </c>
      <c r="G480" s="27" t="s">
        <v>78</v>
      </c>
      <c r="H480" s="27" t="s">
        <v>201</v>
      </c>
      <c r="I480" s="27" t="s">
        <v>39</v>
      </c>
      <c r="J480" s="26">
        <v>43468</v>
      </c>
      <c r="K480" s="26">
        <v>43525</v>
      </c>
      <c r="L480" s="27">
        <f t="shared" si="44"/>
        <v>1</v>
      </c>
      <c r="M480" s="45">
        <v>58200</v>
      </c>
      <c r="N480" s="45">
        <v>97050</v>
      </c>
      <c r="O480" s="27">
        <v>38</v>
      </c>
      <c r="P480" s="46">
        <f t="shared" si="45"/>
        <v>0.40030911901081917</v>
      </c>
      <c r="Q480" s="27">
        <v>22</v>
      </c>
      <c r="R480" s="44">
        <f t="shared" si="42"/>
        <v>2135100</v>
      </c>
      <c r="S480" s="29">
        <v>0.04</v>
      </c>
      <c r="T480" s="44">
        <f t="shared" si="46"/>
        <v>2049696</v>
      </c>
      <c r="U480" s="44">
        <f t="shared" si="47"/>
        <v>769296</v>
      </c>
      <c r="V480" s="44"/>
    </row>
    <row r="481" spans="1:22" ht="14.5" x14ac:dyDescent="0.35">
      <c r="A481" s="47" t="str">
        <f t="shared" si="43"/>
        <v>SBY-KH-E1036-2017</v>
      </c>
      <c r="B481" s="26">
        <v>42816</v>
      </c>
      <c r="C481" s="42">
        <v>2017</v>
      </c>
      <c r="D481" s="27" t="s">
        <v>325</v>
      </c>
      <c r="E481" s="27" t="s">
        <v>41</v>
      </c>
      <c r="F481" s="42" t="str" cm="1">
        <f t="array" ref="F481">_xlfn.IFS(E481="Bandung","BDG",E481="Surabaya","SBY",E481="Jakarta","JKT")</f>
        <v>SBY</v>
      </c>
      <c r="G481" s="27" t="s">
        <v>78</v>
      </c>
      <c r="H481" s="27" t="s">
        <v>326</v>
      </c>
      <c r="I481" s="27" t="s">
        <v>39</v>
      </c>
      <c r="J481" s="26">
        <v>42816</v>
      </c>
      <c r="K481" s="26">
        <v>42816</v>
      </c>
      <c r="L481" s="27">
        <f t="shared" si="44"/>
        <v>0</v>
      </c>
      <c r="M481" s="45">
        <v>13950</v>
      </c>
      <c r="N481" s="45">
        <v>24000</v>
      </c>
      <c r="O481" s="27">
        <v>64</v>
      </c>
      <c r="P481" s="46">
        <f t="shared" si="45"/>
        <v>0.41875000000000001</v>
      </c>
      <c r="Q481" s="27">
        <v>25</v>
      </c>
      <c r="R481" s="44">
        <f t="shared" si="42"/>
        <v>600000</v>
      </c>
      <c r="S481" s="29">
        <v>0.1</v>
      </c>
      <c r="T481" s="44">
        <f t="shared" si="46"/>
        <v>540000</v>
      </c>
      <c r="U481" s="44">
        <f t="shared" si="47"/>
        <v>191250</v>
      </c>
      <c r="V481" s="44"/>
    </row>
    <row r="482" spans="1:22" ht="14.5" x14ac:dyDescent="0.35">
      <c r="A482" s="47" t="str">
        <f t="shared" si="43"/>
        <v>SBY-KH-E1036-2018</v>
      </c>
      <c r="B482" s="26">
        <v>43390</v>
      </c>
      <c r="C482" s="42">
        <v>2018</v>
      </c>
      <c r="D482" s="27" t="s">
        <v>325</v>
      </c>
      <c r="E482" s="27" t="s">
        <v>41</v>
      </c>
      <c r="F482" s="42" t="str" cm="1">
        <f t="array" ref="F482">_xlfn.IFS(E482="Bandung","BDG",E482="Surabaya","SBY",E482="Jakarta","JKT")</f>
        <v>SBY</v>
      </c>
      <c r="G482" s="27" t="s">
        <v>78</v>
      </c>
      <c r="H482" s="27" t="s">
        <v>119</v>
      </c>
      <c r="I482" s="27" t="s">
        <v>120</v>
      </c>
      <c r="J482" s="26">
        <v>43392</v>
      </c>
      <c r="K482" s="26">
        <v>43392</v>
      </c>
      <c r="L482" s="27">
        <f t="shared" si="44"/>
        <v>2</v>
      </c>
      <c r="M482" s="45">
        <v>132300</v>
      </c>
      <c r="N482" s="45">
        <v>314850</v>
      </c>
      <c r="O482" s="27">
        <v>213</v>
      </c>
      <c r="P482" s="46">
        <f t="shared" si="45"/>
        <v>0.57979990471653164</v>
      </c>
      <c r="Q482" s="27">
        <v>49</v>
      </c>
      <c r="R482" s="44">
        <f t="shared" si="42"/>
        <v>15427650</v>
      </c>
      <c r="S482" s="29">
        <v>0.06</v>
      </c>
      <c r="T482" s="44">
        <f t="shared" si="46"/>
        <v>14501991</v>
      </c>
      <c r="U482" s="44">
        <f t="shared" si="47"/>
        <v>8019291</v>
      </c>
      <c r="V482" s="44"/>
    </row>
    <row r="483" spans="1:22" ht="14.5" x14ac:dyDescent="0.35">
      <c r="A483" s="47" t="str">
        <f t="shared" si="43"/>
        <v>BDG-KP-E1036-2016</v>
      </c>
      <c r="B483" s="26">
        <v>42703</v>
      </c>
      <c r="C483" s="42">
        <v>2016</v>
      </c>
      <c r="D483" s="27" t="s">
        <v>245</v>
      </c>
      <c r="E483" s="27" t="s">
        <v>136</v>
      </c>
      <c r="F483" s="42" t="str" cm="1">
        <f t="array" ref="F483">_xlfn.IFS(E483="Bandung","BDG",E483="Surabaya","SBY",E483="Jakarta","JKT")</f>
        <v>BDG</v>
      </c>
      <c r="G483" s="27" t="s">
        <v>78</v>
      </c>
      <c r="H483" s="27" t="s">
        <v>92</v>
      </c>
      <c r="I483" s="27" t="s">
        <v>39</v>
      </c>
      <c r="J483" s="26">
        <v>42703</v>
      </c>
      <c r="K483" s="26">
        <v>42703</v>
      </c>
      <c r="L483" s="27">
        <f t="shared" si="44"/>
        <v>0</v>
      </c>
      <c r="M483" s="45">
        <v>37800</v>
      </c>
      <c r="N483" s="45">
        <v>60000</v>
      </c>
      <c r="O483" s="27">
        <v>217</v>
      </c>
      <c r="P483" s="46">
        <f t="shared" si="45"/>
        <v>0.37</v>
      </c>
      <c r="Q483" s="27">
        <v>41</v>
      </c>
      <c r="R483" s="44">
        <f t="shared" si="42"/>
        <v>2460000</v>
      </c>
      <c r="S483" s="29">
        <v>0.02</v>
      </c>
      <c r="T483" s="44">
        <f t="shared" si="46"/>
        <v>2410800</v>
      </c>
      <c r="U483" s="44">
        <f t="shared" si="47"/>
        <v>861000</v>
      </c>
      <c r="V483" s="44"/>
    </row>
    <row r="484" spans="1:22" ht="14.5" x14ac:dyDescent="0.35">
      <c r="A484" s="47" t="str">
        <f t="shared" si="43"/>
        <v>BDG-KP-E1036-2017</v>
      </c>
      <c r="B484" s="26">
        <v>43077</v>
      </c>
      <c r="C484" s="42">
        <v>2017</v>
      </c>
      <c r="D484" s="27" t="s">
        <v>245</v>
      </c>
      <c r="E484" s="27" t="s">
        <v>136</v>
      </c>
      <c r="F484" s="42" t="str" cm="1">
        <f t="array" ref="F484">_xlfn.IFS(E484="Bandung","BDG",E484="Surabaya","SBY",E484="Jakarta","JKT")</f>
        <v>BDG</v>
      </c>
      <c r="G484" s="27" t="s">
        <v>78</v>
      </c>
      <c r="H484" s="27" t="s">
        <v>105</v>
      </c>
      <c r="I484" s="27" t="s">
        <v>35</v>
      </c>
      <c r="J484" s="26">
        <v>43077</v>
      </c>
      <c r="K484" s="26">
        <v>42959</v>
      </c>
      <c r="L484" s="27">
        <f t="shared" si="44"/>
        <v>-118</v>
      </c>
      <c r="M484" s="45">
        <v>151050</v>
      </c>
      <c r="N484" s="45">
        <v>239700</v>
      </c>
      <c r="O484" s="27">
        <v>85</v>
      </c>
      <c r="P484" s="46">
        <f t="shared" si="45"/>
        <v>0.36983729662077597</v>
      </c>
      <c r="Q484" s="27">
        <v>46</v>
      </c>
      <c r="R484" s="44">
        <f t="shared" si="42"/>
        <v>11026200</v>
      </c>
      <c r="S484" s="29">
        <v>0.02</v>
      </c>
      <c r="T484" s="44">
        <f t="shared" si="46"/>
        <v>10805676</v>
      </c>
      <c r="U484" s="44">
        <f t="shared" si="47"/>
        <v>3857376</v>
      </c>
      <c r="V484" s="44"/>
    </row>
    <row r="485" spans="1:22" ht="14.5" x14ac:dyDescent="0.35">
      <c r="A485" s="47" t="str">
        <f t="shared" si="43"/>
        <v>BDG-KP-E1036-2019</v>
      </c>
      <c r="B485" s="26">
        <v>43546</v>
      </c>
      <c r="C485" s="42">
        <v>2019</v>
      </c>
      <c r="D485" s="27" t="s">
        <v>245</v>
      </c>
      <c r="E485" s="27" t="s">
        <v>136</v>
      </c>
      <c r="F485" s="42" t="str" cm="1">
        <f t="array" ref="F485">_xlfn.IFS(E485="Bandung","BDG",E485="Surabaya","SBY",E485="Jakarta","JKT")</f>
        <v>BDG</v>
      </c>
      <c r="G485" s="27" t="s">
        <v>78</v>
      </c>
      <c r="H485" s="27" t="s">
        <v>178</v>
      </c>
      <c r="I485" s="27" t="s">
        <v>39</v>
      </c>
      <c r="J485" s="26">
        <v>43550</v>
      </c>
      <c r="K485" s="26">
        <v>43550</v>
      </c>
      <c r="L485" s="27">
        <f t="shared" si="44"/>
        <v>4</v>
      </c>
      <c r="M485" s="45">
        <v>24000</v>
      </c>
      <c r="N485" s="45">
        <v>39300</v>
      </c>
      <c r="O485" s="27">
        <v>215</v>
      </c>
      <c r="P485" s="46">
        <f t="shared" si="45"/>
        <v>0.38931297709923662</v>
      </c>
      <c r="Q485" s="27">
        <v>26</v>
      </c>
      <c r="R485" s="44">
        <f t="shared" si="42"/>
        <v>1021800</v>
      </c>
      <c r="S485" s="29">
        <v>0.08</v>
      </c>
      <c r="T485" s="44">
        <f t="shared" si="46"/>
        <v>940056</v>
      </c>
      <c r="U485" s="44">
        <f t="shared" si="47"/>
        <v>316056</v>
      </c>
      <c r="V485" s="44"/>
    </row>
    <row r="486" spans="1:22" ht="14.5" x14ac:dyDescent="0.35">
      <c r="A486" s="47" t="str">
        <f t="shared" si="43"/>
        <v>BDG-KP-E1036-2020</v>
      </c>
      <c r="B486" s="26">
        <v>43838</v>
      </c>
      <c r="C486" s="42">
        <v>2020</v>
      </c>
      <c r="D486" s="27" t="s">
        <v>245</v>
      </c>
      <c r="E486" s="27" t="s">
        <v>136</v>
      </c>
      <c r="F486" s="42" t="str" cm="1">
        <f t="array" ref="F486">_xlfn.IFS(E486="Bandung","BDG",E486="Surabaya","SBY",E486="Jakarta","JKT")</f>
        <v>BDG</v>
      </c>
      <c r="G486" s="27" t="s">
        <v>78</v>
      </c>
      <c r="H486" s="27" t="s">
        <v>216</v>
      </c>
      <c r="I486" s="27" t="s">
        <v>35</v>
      </c>
      <c r="J486" s="26">
        <v>43839</v>
      </c>
      <c r="K486" s="26">
        <v>44075</v>
      </c>
      <c r="L486" s="27">
        <f t="shared" si="44"/>
        <v>237</v>
      </c>
      <c r="M486" s="45">
        <v>66900</v>
      </c>
      <c r="N486" s="45">
        <v>163350</v>
      </c>
      <c r="O486" s="27">
        <v>151</v>
      </c>
      <c r="P486" s="46">
        <f t="shared" si="45"/>
        <v>0.59044995408631773</v>
      </c>
      <c r="Q486" s="27">
        <v>19</v>
      </c>
      <c r="R486" s="44">
        <f t="shared" si="42"/>
        <v>3103650</v>
      </c>
      <c r="S486" s="29">
        <v>7.0000000000000007E-2</v>
      </c>
      <c r="T486" s="44">
        <f t="shared" si="46"/>
        <v>2886394.5</v>
      </c>
      <c r="U486" s="44">
        <f t="shared" si="47"/>
        <v>1615294.5</v>
      </c>
      <c r="V486" s="44"/>
    </row>
    <row r="487" spans="1:22" ht="14.5" x14ac:dyDescent="0.35">
      <c r="A487" s="47" t="str">
        <f t="shared" si="43"/>
        <v>JKT-KN-E1029-2018</v>
      </c>
      <c r="B487" s="26">
        <v>43375</v>
      </c>
      <c r="C487" s="42">
        <v>2018</v>
      </c>
      <c r="D487" s="27" t="s">
        <v>595</v>
      </c>
      <c r="E487" s="27" t="s">
        <v>32</v>
      </c>
      <c r="F487" s="42" t="str" cm="1">
        <f t="array" ref="F487">_xlfn.IFS(E487="Bandung","BDG",E487="Surabaya","SBY",E487="Jakarta","JKT")</f>
        <v>JKT</v>
      </c>
      <c r="G487" s="27" t="s">
        <v>37</v>
      </c>
      <c r="H487" s="27" t="s">
        <v>76</v>
      </c>
      <c r="I487" s="27" t="s">
        <v>35</v>
      </c>
      <c r="J487" s="26">
        <v>43377</v>
      </c>
      <c r="K487" s="26">
        <v>43200</v>
      </c>
      <c r="L487" s="27">
        <f t="shared" si="44"/>
        <v>-175</v>
      </c>
      <c r="M487" s="45">
        <v>68850</v>
      </c>
      <c r="N487" s="45">
        <v>109200</v>
      </c>
      <c r="O487" s="27">
        <v>200</v>
      </c>
      <c r="P487" s="46">
        <f t="shared" si="45"/>
        <v>0.36950549450549453</v>
      </c>
      <c r="Q487" s="27">
        <v>16</v>
      </c>
      <c r="R487" s="44">
        <f t="shared" si="42"/>
        <v>1747200</v>
      </c>
      <c r="S487" s="29">
        <v>7.0000000000000007E-2</v>
      </c>
      <c r="T487" s="44">
        <f t="shared" si="46"/>
        <v>1624896</v>
      </c>
      <c r="U487" s="44">
        <f t="shared" si="47"/>
        <v>523296</v>
      </c>
      <c r="V487" s="44"/>
    </row>
    <row r="488" spans="1:22" ht="14.5" x14ac:dyDescent="0.35">
      <c r="A488" s="47" t="str">
        <f t="shared" si="43"/>
        <v>JKT-KN-E1029-2020</v>
      </c>
      <c r="B488" s="26">
        <v>43835</v>
      </c>
      <c r="C488" s="42">
        <v>2020</v>
      </c>
      <c r="D488" s="27" t="s">
        <v>595</v>
      </c>
      <c r="E488" s="27" t="s">
        <v>32</v>
      </c>
      <c r="F488" s="42" t="str" cm="1">
        <f t="array" ref="F488">_xlfn.IFS(E488="Bandung","BDG",E488="Surabaya","SBY",E488="Jakarta","JKT")</f>
        <v>JKT</v>
      </c>
      <c r="G488" s="27" t="s">
        <v>37</v>
      </c>
      <c r="H488" s="27" t="s">
        <v>92</v>
      </c>
      <c r="I488" s="27" t="s">
        <v>39</v>
      </c>
      <c r="J488" s="26">
        <v>43983</v>
      </c>
      <c r="K488" s="26">
        <v>43836</v>
      </c>
      <c r="L488" s="27">
        <f t="shared" si="44"/>
        <v>1</v>
      </c>
      <c r="M488" s="45">
        <v>37800</v>
      </c>
      <c r="N488" s="45">
        <v>60000</v>
      </c>
      <c r="O488" s="27">
        <v>176</v>
      </c>
      <c r="P488" s="46">
        <f t="shared" si="45"/>
        <v>0.37</v>
      </c>
      <c r="Q488" s="27">
        <v>22</v>
      </c>
      <c r="R488" s="44">
        <f t="shared" si="42"/>
        <v>1320000</v>
      </c>
      <c r="S488" s="29">
        <v>0.09</v>
      </c>
      <c r="T488" s="44">
        <f t="shared" si="46"/>
        <v>1201200</v>
      </c>
      <c r="U488" s="44">
        <f t="shared" si="47"/>
        <v>369600</v>
      </c>
      <c r="V488" s="44"/>
    </row>
    <row r="489" spans="1:22" ht="14.5" x14ac:dyDescent="0.35">
      <c r="A489" s="47" t="str">
        <f t="shared" si="43"/>
        <v>SBY-KH-E1033-2017</v>
      </c>
      <c r="B489" s="26">
        <v>42882</v>
      </c>
      <c r="C489" s="42">
        <v>2017</v>
      </c>
      <c r="D489" s="27" t="s">
        <v>369</v>
      </c>
      <c r="E489" s="27" t="s">
        <v>41</v>
      </c>
      <c r="F489" s="42" t="str" cm="1">
        <f t="array" ref="F489">_xlfn.IFS(E489="Bandung","BDG",E489="Surabaya","SBY",E489="Jakarta","JKT")</f>
        <v>SBY</v>
      </c>
      <c r="G489" s="27" t="s">
        <v>60</v>
      </c>
      <c r="H489" s="27" t="s">
        <v>209</v>
      </c>
      <c r="I489" s="27" t="s">
        <v>236</v>
      </c>
      <c r="J489" s="26" t="s">
        <v>1611</v>
      </c>
      <c r="K489" s="26">
        <v>42883</v>
      </c>
      <c r="L489" s="27">
        <f t="shared" si="44"/>
        <v>1</v>
      </c>
      <c r="M489" s="45">
        <v>3240000</v>
      </c>
      <c r="N489" s="45">
        <v>6749850</v>
      </c>
      <c r="O489" s="27">
        <v>240</v>
      </c>
      <c r="P489" s="46">
        <f t="shared" si="45"/>
        <v>0.51998933309629103</v>
      </c>
      <c r="Q489" s="27">
        <v>5</v>
      </c>
      <c r="R489" s="44">
        <f t="shared" si="42"/>
        <v>33749250</v>
      </c>
      <c r="S489" s="29">
        <v>0.02</v>
      </c>
      <c r="T489" s="44">
        <f t="shared" si="46"/>
        <v>33074265</v>
      </c>
      <c r="U489" s="44">
        <f t="shared" si="47"/>
        <v>16874265</v>
      </c>
      <c r="V489" s="44"/>
    </row>
    <row r="490" spans="1:22" ht="14.5" x14ac:dyDescent="0.35">
      <c r="A490" s="47" t="str">
        <f t="shared" si="43"/>
        <v>SBY-KH-E1033-2017</v>
      </c>
      <c r="B490" s="26">
        <v>43006</v>
      </c>
      <c r="C490" s="42">
        <v>2017</v>
      </c>
      <c r="D490" s="27" t="s">
        <v>369</v>
      </c>
      <c r="E490" s="27" t="s">
        <v>41</v>
      </c>
      <c r="F490" s="42" t="str" cm="1">
        <f t="array" ref="F490">_xlfn.IFS(E490="Bandung","BDG",E490="Surabaya","SBY",E490="Jakarta","JKT")</f>
        <v>SBY</v>
      </c>
      <c r="G490" s="27" t="s">
        <v>60</v>
      </c>
      <c r="H490" s="27" t="s">
        <v>87</v>
      </c>
      <c r="I490" s="27" t="s">
        <v>35</v>
      </c>
      <c r="J490" s="26">
        <v>42804</v>
      </c>
      <c r="K490" s="26">
        <v>43011</v>
      </c>
      <c r="L490" s="27">
        <f t="shared" si="44"/>
        <v>5</v>
      </c>
      <c r="M490" s="45">
        <v>52800</v>
      </c>
      <c r="N490" s="45">
        <v>85200</v>
      </c>
      <c r="O490" s="27">
        <v>162</v>
      </c>
      <c r="P490" s="46">
        <f t="shared" si="45"/>
        <v>0.38028169014084506</v>
      </c>
      <c r="Q490" s="27">
        <v>32</v>
      </c>
      <c r="R490" s="44">
        <f t="shared" si="42"/>
        <v>2726400</v>
      </c>
      <c r="S490" s="29">
        <v>0.1</v>
      </c>
      <c r="T490" s="44">
        <f t="shared" si="46"/>
        <v>2453760</v>
      </c>
      <c r="U490" s="44">
        <f t="shared" si="47"/>
        <v>764160</v>
      </c>
      <c r="V490" s="44"/>
    </row>
    <row r="491" spans="1:22" ht="14.5" x14ac:dyDescent="0.35">
      <c r="A491" s="47" t="str">
        <f t="shared" si="43"/>
        <v>SBY-KH-E1033-2018</v>
      </c>
      <c r="B491" s="26">
        <v>43415</v>
      </c>
      <c r="C491" s="42">
        <v>2018</v>
      </c>
      <c r="D491" s="27" t="s">
        <v>369</v>
      </c>
      <c r="E491" s="27" t="s">
        <v>41</v>
      </c>
      <c r="F491" s="42" t="str" cm="1">
        <f t="array" ref="F491">_xlfn.IFS(E491="Bandung","BDG",E491="Surabaya","SBY",E491="Jakarta","JKT")</f>
        <v>SBY</v>
      </c>
      <c r="G491" s="27" t="s">
        <v>60</v>
      </c>
      <c r="H491" s="27" t="s">
        <v>445</v>
      </c>
      <c r="I491" s="27" t="s">
        <v>35</v>
      </c>
      <c r="J491" s="26">
        <v>43445</v>
      </c>
      <c r="K491" s="26">
        <v>43416</v>
      </c>
      <c r="L491" s="27">
        <f t="shared" si="44"/>
        <v>1</v>
      </c>
      <c r="M491" s="45">
        <v>220500</v>
      </c>
      <c r="N491" s="45">
        <v>449850</v>
      </c>
      <c r="O491" s="27">
        <v>109</v>
      </c>
      <c r="P491" s="46">
        <f t="shared" si="45"/>
        <v>0.50983661220406806</v>
      </c>
      <c r="Q491" s="27">
        <v>27</v>
      </c>
      <c r="R491" s="44">
        <f t="shared" si="42"/>
        <v>12145950</v>
      </c>
      <c r="S491" s="29">
        <v>0.05</v>
      </c>
      <c r="T491" s="44">
        <f t="shared" si="46"/>
        <v>11538652.5</v>
      </c>
      <c r="U491" s="44">
        <f t="shared" si="47"/>
        <v>5585152.5</v>
      </c>
      <c r="V491" s="44"/>
    </row>
    <row r="492" spans="1:22" ht="14.5" x14ac:dyDescent="0.35">
      <c r="A492" s="47" t="str">
        <f t="shared" si="43"/>
        <v>JKT-KK-E1029-2016</v>
      </c>
      <c r="B492" s="26">
        <v>42660</v>
      </c>
      <c r="C492" s="42">
        <v>2016</v>
      </c>
      <c r="D492" s="27" t="s">
        <v>195</v>
      </c>
      <c r="E492" s="27" t="s">
        <v>32</v>
      </c>
      <c r="F492" s="42" t="str" cm="1">
        <f t="array" ref="F492">_xlfn.IFS(E492="Bandung","BDG",E492="Surabaya","SBY",E492="Jakarta","JKT")</f>
        <v>JKT</v>
      </c>
      <c r="G492" s="27" t="s">
        <v>37</v>
      </c>
      <c r="H492" s="27" t="s">
        <v>119</v>
      </c>
      <c r="I492" s="27" t="s">
        <v>120</v>
      </c>
      <c r="J492" s="26">
        <v>42662</v>
      </c>
      <c r="K492" s="26">
        <v>42662</v>
      </c>
      <c r="L492" s="27">
        <f t="shared" si="44"/>
        <v>2</v>
      </c>
      <c r="M492" s="45">
        <v>132300</v>
      </c>
      <c r="N492" s="45">
        <v>314850</v>
      </c>
      <c r="O492" s="27">
        <v>164</v>
      </c>
      <c r="P492" s="46">
        <f t="shared" si="45"/>
        <v>0.57979990471653164</v>
      </c>
      <c r="Q492" s="27">
        <v>41</v>
      </c>
      <c r="R492" s="44">
        <f t="shared" si="42"/>
        <v>12908850</v>
      </c>
      <c r="S492" s="29">
        <v>0.02</v>
      </c>
      <c r="T492" s="44">
        <f t="shared" si="46"/>
        <v>12650673</v>
      </c>
      <c r="U492" s="44">
        <f t="shared" si="47"/>
        <v>7226373</v>
      </c>
      <c r="V492" s="44"/>
    </row>
    <row r="493" spans="1:22" ht="14.5" x14ac:dyDescent="0.35">
      <c r="A493" s="47" t="str">
        <f t="shared" si="43"/>
        <v>JKT-KK-E1029-2016</v>
      </c>
      <c r="B493" s="26">
        <v>42660</v>
      </c>
      <c r="C493" s="42">
        <v>2016</v>
      </c>
      <c r="D493" s="27" t="s">
        <v>195</v>
      </c>
      <c r="E493" s="27" t="s">
        <v>32</v>
      </c>
      <c r="F493" s="42" t="str" cm="1">
        <f t="array" ref="F493">_xlfn.IFS(E493="Bandung","BDG",E493="Surabaya","SBY",E493="Jakarta","JKT")</f>
        <v>JKT</v>
      </c>
      <c r="G493" s="27" t="s">
        <v>37</v>
      </c>
      <c r="H493" s="27" t="s">
        <v>180</v>
      </c>
      <c r="I493" s="27" t="s">
        <v>35</v>
      </c>
      <c r="J493" s="26" t="s">
        <v>1571</v>
      </c>
      <c r="K493" s="26">
        <v>42662</v>
      </c>
      <c r="L493" s="27">
        <f t="shared" si="44"/>
        <v>2</v>
      </c>
      <c r="M493" s="45">
        <v>51000</v>
      </c>
      <c r="N493" s="45">
        <v>81000</v>
      </c>
      <c r="O493" s="27">
        <v>180</v>
      </c>
      <c r="P493" s="46">
        <f t="shared" si="45"/>
        <v>0.37037037037037035</v>
      </c>
      <c r="Q493" s="27">
        <v>26</v>
      </c>
      <c r="R493" s="44">
        <f t="shared" si="42"/>
        <v>2106000</v>
      </c>
      <c r="S493" s="29">
        <v>0.05</v>
      </c>
      <c r="T493" s="44">
        <f t="shared" si="46"/>
        <v>2000700</v>
      </c>
      <c r="U493" s="44">
        <f t="shared" si="47"/>
        <v>674700</v>
      </c>
      <c r="V493" s="44"/>
    </row>
    <row r="494" spans="1:22" ht="14.5" x14ac:dyDescent="0.35">
      <c r="A494" s="47" t="str">
        <f t="shared" si="43"/>
        <v>JKT-KK-E1029-2019</v>
      </c>
      <c r="B494" s="26">
        <v>43671</v>
      </c>
      <c r="C494" s="42">
        <v>2019</v>
      </c>
      <c r="D494" s="27" t="s">
        <v>195</v>
      </c>
      <c r="E494" s="27" t="s">
        <v>32</v>
      </c>
      <c r="F494" s="42" t="str" cm="1">
        <f t="array" ref="F494">_xlfn.IFS(E494="Bandung","BDG",E494="Surabaya","SBY",E494="Jakarta","JKT")</f>
        <v>JKT</v>
      </c>
      <c r="G494" s="27" t="s">
        <v>37</v>
      </c>
      <c r="H494" s="27" t="s">
        <v>455</v>
      </c>
      <c r="I494" s="27" t="s">
        <v>39</v>
      </c>
      <c r="J494" s="26">
        <v>43671</v>
      </c>
      <c r="K494" s="26">
        <v>43671</v>
      </c>
      <c r="L494" s="27">
        <f t="shared" si="44"/>
        <v>0</v>
      </c>
      <c r="M494" s="45">
        <v>13800</v>
      </c>
      <c r="N494" s="45">
        <v>27150</v>
      </c>
      <c r="O494" s="27">
        <v>118</v>
      </c>
      <c r="P494" s="46">
        <f t="shared" si="45"/>
        <v>0.49171270718232046</v>
      </c>
      <c r="Q494" s="27">
        <v>22</v>
      </c>
      <c r="R494" s="44">
        <f t="shared" si="42"/>
        <v>597300</v>
      </c>
      <c r="S494" s="29">
        <v>0.09</v>
      </c>
      <c r="T494" s="44">
        <f t="shared" si="46"/>
        <v>543543</v>
      </c>
      <c r="U494" s="44">
        <f t="shared" si="47"/>
        <v>239943</v>
      </c>
      <c r="V494" s="44"/>
    </row>
    <row r="495" spans="1:22" ht="14.5" x14ac:dyDescent="0.35">
      <c r="A495" s="47" t="str">
        <f t="shared" si="43"/>
        <v>SBY-KS-E1030-2019</v>
      </c>
      <c r="B495" s="26">
        <v>43536</v>
      </c>
      <c r="C495" s="42">
        <v>2019</v>
      </c>
      <c r="D495" s="27" t="s">
        <v>644</v>
      </c>
      <c r="E495" s="27" t="s">
        <v>41</v>
      </c>
      <c r="F495" s="42" t="str" cm="1">
        <f t="array" ref="F495">_xlfn.IFS(E495="Bandung","BDG",E495="Surabaya","SBY",E495="Jakarta","JKT")</f>
        <v>SBY</v>
      </c>
      <c r="G495" s="27" t="s">
        <v>42</v>
      </c>
      <c r="H495" s="27" t="s">
        <v>201</v>
      </c>
      <c r="I495" s="27" t="s">
        <v>39</v>
      </c>
      <c r="J495" s="26">
        <v>43538</v>
      </c>
      <c r="K495" s="26">
        <v>43538</v>
      </c>
      <c r="L495" s="27">
        <f t="shared" si="44"/>
        <v>2</v>
      </c>
      <c r="M495" s="45">
        <v>58200</v>
      </c>
      <c r="N495" s="45">
        <v>97050</v>
      </c>
      <c r="O495" s="27">
        <v>16</v>
      </c>
      <c r="P495" s="46">
        <f t="shared" si="45"/>
        <v>0.40030911901081917</v>
      </c>
      <c r="Q495" s="27">
        <v>16</v>
      </c>
      <c r="R495" s="44">
        <f t="shared" si="42"/>
        <v>1552800</v>
      </c>
      <c r="S495" s="29">
        <v>0.01</v>
      </c>
      <c r="T495" s="44">
        <f t="shared" si="46"/>
        <v>1537272</v>
      </c>
      <c r="U495" s="44">
        <f t="shared" si="47"/>
        <v>606072</v>
      </c>
      <c r="V495" s="44"/>
    </row>
    <row r="496" spans="1:22" ht="14.5" x14ac:dyDescent="0.35">
      <c r="A496" s="47" t="str">
        <f t="shared" si="43"/>
        <v>SBY-KS-E1030-2019</v>
      </c>
      <c r="B496" s="26">
        <v>43793</v>
      </c>
      <c r="C496" s="42">
        <v>2019</v>
      </c>
      <c r="D496" s="27" t="s">
        <v>644</v>
      </c>
      <c r="E496" s="27" t="s">
        <v>41</v>
      </c>
      <c r="F496" s="42" t="str" cm="1">
        <f t="array" ref="F496">_xlfn.IFS(E496="Bandung","BDG",E496="Surabaya","SBY",E496="Jakarta","JKT")</f>
        <v>SBY</v>
      </c>
      <c r="G496" s="27" t="s">
        <v>42</v>
      </c>
      <c r="H496" s="27" t="s">
        <v>303</v>
      </c>
      <c r="I496" s="27" t="s">
        <v>35</v>
      </c>
      <c r="J496" s="26">
        <v>43795</v>
      </c>
      <c r="K496" s="26">
        <v>43795</v>
      </c>
      <c r="L496" s="27">
        <f t="shared" si="44"/>
        <v>2</v>
      </c>
      <c r="M496" s="45">
        <v>34350</v>
      </c>
      <c r="N496" s="45">
        <v>55350</v>
      </c>
      <c r="O496" s="27">
        <v>175</v>
      </c>
      <c r="P496" s="46">
        <f t="shared" si="45"/>
        <v>0.37940379403794039</v>
      </c>
      <c r="Q496" s="27">
        <v>13</v>
      </c>
      <c r="R496" s="44">
        <f t="shared" si="42"/>
        <v>719550</v>
      </c>
      <c r="S496" s="29">
        <v>0.04</v>
      </c>
      <c r="T496" s="44">
        <f t="shared" si="46"/>
        <v>690768</v>
      </c>
      <c r="U496" s="44">
        <f t="shared" si="47"/>
        <v>244218</v>
      </c>
      <c r="V496" s="44"/>
    </row>
    <row r="497" spans="1:22" ht="14.5" x14ac:dyDescent="0.35">
      <c r="A497" s="47" t="str">
        <f t="shared" si="43"/>
        <v>SBY-KP-E1033-2018</v>
      </c>
      <c r="B497" s="26">
        <v>43221</v>
      </c>
      <c r="C497" s="42">
        <v>2018</v>
      </c>
      <c r="D497" s="27" t="s">
        <v>536</v>
      </c>
      <c r="E497" s="27" t="s">
        <v>41</v>
      </c>
      <c r="F497" s="42" t="str" cm="1">
        <f t="array" ref="F497">_xlfn.IFS(E497="Bandung","BDG",E497="Surabaya","SBY",E497="Jakarta","JKT")</f>
        <v>SBY</v>
      </c>
      <c r="G497" s="27" t="s">
        <v>60</v>
      </c>
      <c r="H497" s="27" t="s">
        <v>54</v>
      </c>
      <c r="I497" s="27" t="s">
        <v>35</v>
      </c>
      <c r="J497" s="26">
        <v>43164</v>
      </c>
      <c r="K497" s="26">
        <v>43223</v>
      </c>
      <c r="L497" s="27">
        <f t="shared" si="44"/>
        <v>2</v>
      </c>
      <c r="M497" s="45">
        <v>1490850</v>
      </c>
      <c r="N497" s="45">
        <v>2443950</v>
      </c>
      <c r="O497" s="27">
        <v>213</v>
      </c>
      <c r="P497" s="46">
        <f t="shared" si="45"/>
        <v>0.38998342846621248</v>
      </c>
      <c r="Q497" s="27">
        <v>48</v>
      </c>
      <c r="R497" s="44">
        <f t="shared" si="42"/>
        <v>117309600</v>
      </c>
      <c r="S497" s="29">
        <v>0.04</v>
      </c>
      <c r="T497" s="44">
        <f t="shared" si="46"/>
        <v>112617216</v>
      </c>
      <c r="U497" s="44">
        <f t="shared" si="47"/>
        <v>41056416</v>
      </c>
      <c r="V497" s="44"/>
    </row>
    <row r="498" spans="1:22" ht="14.5" x14ac:dyDescent="0.35">
      <c r="A498" s="47" t="str">
        <f t="shared" si="43"/>
        <v>SBY-KP-E1033-2020</v>
      </c>
      <c r="B498" s="26">
        <v>43861</v>
      </c>
      <c r="C498" s="42">
        <v>2020</v>
      </c>
      <c r="D498" s="27" t="s">
        <v>536</v>
      </c>
      <c r="E498" s="27" t="s">
        <v>41</v>
      </c>
      <c r="F498" s="42" t="str" cm="1">
        <f t="array" ref="F498">_xlfn.IFS(E498="Bandung","BDG",E498="Surabaya","SBY",E498="Jakarta","JKT")</f>
        <v>SBY</v>
      </c>
      <c r="G498" s="27" t="s">
        <v>60</v>
      </c>
      <c r="H498" s="27" t="s">
        <v>247</v>
      </c>
      <c r="I498" s="27" t="s">
        <v>236</v>
      </c>
      <c r="J498" s="26">
        <v>43864</v>
      </c>
      <c r="K498" s="26">
        <v>43892</v>
      </c>
      <c r="L498" s="27">
        <f t="shared" si="44"/>
        <v>31</v>
      </c>
      <c r="M498" s="45">
        <v>842400</v>
      </c>
      <c r="N498" s="45">
        <v>2054699.9999999998</v>
      </c>
      <c r="O498" s="27">
        <v>72</v>
      </c>
      <c r="P498" s="46">
        <f t="shared" si="45"/>
        <v>0.59001314060446775</v>
      </c>
      <c r="Q498" s="27">
        <v>21</v>
      </c>
      <c r="R498" s="44">
        <f t="shared" si="42"/>
        <v>43148699.999999993</v>
      </c>
      <c r="S498" s="29">
        <v>0.05</v>
      </c>
      <c r="T498" s="44">
        <f t="shared" si="46"/>
        <v>40991264.999999993</v>
      </c>
      <c r="U498" s="44">
        <f t="shared" si="47"/>
        <v>23300864.999999993</v>
      </c>
      <c r="V498" s="44"/>
    </row>
    <row r="499" spans="1:22" ht="14.5" x14ac:dyDescent="0.35">
      <c r="A499" s="47" t="str">
        <f t="shared" si="43"/>
        <v>SBY-KK-E1036-2019</v>
      </c>
      <c r="B499" s="26">
        <v>43475</v>
      </c>
      <c r="C499" s="42">
        <v>2019</v>
      </c>
      <c r="D499" s="27" t="s">
        <v>630</v>
      </c>
      <c r="E499" s="27" t="s">
        <v>41</v>
      </c>
      <c r="F499" s="42" t="str" cm="1">
        <f t="array" ref="F499">_xlfn.IFS(E499="Bandung","BDG",E499="Surabaya","SBY",E499="Jakarta","JKT")</f>
        <v>SBY</v>
      </c>
      <c r="G499" s="27" t="s">
        <v>78</v>
      </c>
      <c r="H499" s="27" t="s">
        <v>130</v>
      </c>
      <c r="I499" s="27" t="s">
        <v>39</v>
      </c>
      <c r="J499" s="26">
        <v>43800</v>
      </c>
      <c r="K499" s="26">
        <v>43477</v>
      </c>
      <c r="L499" s="27">
        <f t="shared" si="44"/>
        <v>2</v>
      </c>
      <c r="M499" s="45">
        <v>56250</v>
      </c>
      <c r="N499" s="45">
        <v>106200</v>
      </c>
      <c r="O499" s="27">
        <v>206</v>
      </c>
      <c r="P499" s="46">
        <f t="shared" si="45"/>
        <v>0.47033898305084748</v>
      </c>
      <c r="Q499" s="27">
        <v>37</v>
      </c>
      <c r="R499" s="44">
        <f t="shared" si="42"/>
        <v>3929400</v>
      </c>
      <c r="S499" s="29">
        <v>0.08</v>
      </c>
      <c r="T499" s="44">
        <f t="shared" si="46"/>
        <v>3615048</v>
      </c>
      <c r="U499" s="44">
        <f t="shared" si="47"/>
        <v>1533798</v>
      </c>
      <c r="V499" s="44"/>
    </row>
    <row r="500" spans="1:22" ht="14.5" x14ac:dyDescent="0.35">
      <c r="A500" s="47" t="str">
        <f t="shared" si="43"/>
        <v>SBY-KK-E1036-2019</v>
      </c>
      <c r="B500" s="26">
        <v>43586</v>
      </c>
      <c r="C500" s="42">
        <v>2019</v>
      </c>
      <c r="D500" s="27" t="s">
        <v>630</v>
      </c>
      <c r="E500" s="27" t="s">
        <v>41</v>
      </c>
      <c r="F500" s="42" t="str" cm="1">
        <f t="array" ref="F500">_xlfn.IFS(E500="Bandung","BDG",E500="Surabaya","SBY",E500="Jakarta","JKT")</f>
        <v>SBY</v>
      </c>
      <c r="G500" s="27" t="s">
        <v>78</v>
      </c>
      <c r="H500" s="27" t="s">
        <v>107</v>
      </c>
      <c r="I500" s="27" t="s">
        <v>73</v>
      </c>
      <c r="J500" s="26">
        <v>43588</v>
      </c>
      <c r="K500" s="26">
        <v>43529</v>
      </c>
      <c r="L500" s="27">
        <f t="shared" si="44"/>
        <v>-57</v>
      </c>
      <c r="M500" s="45">
        <v>71850</v>
      </c>
      <c r="N500" s="45">
        <v>179550</v>
      </c>
      <c r="O500" s="27">
        <v>242</v>
      </c>
      <c r="P500" s="46">
        <f t="shared" si="45"/>
        <v>0.59983291562238927</v>
      </c>
      <c r="Q500" s="27">
        <v>28</v>
      </c>
      <c r="R500" s="44">
        <f t="shared" si="42"/>
        <v>5027400</v>
      </c>
      <c r="S500" s="29">
        <v>0.03</v>
      </c>
      <c r="T500" s="44">
        <f t="shared" si="46"/>
        <v>4876578</v>
      </c>
      <c r="U500" s="44">
        <f t="shared" si="47"/>
        <v>2864778</v>
      </c>
      <c r="V500" s="44"/>
    </row>
    <row r="501" spans="1:22" ht="14.5" x14ac:dyDescent="0.35">
      <c r="A501" s="47" t="str">
        <f t="shared" si="43"/>
        <v>SBY-KN-E1031-2017</v>
      </c>
      <c r="B501" s="26">
        <v>43025</v>
      </c>
      <c r="C501" s="42">
        <v>2017</v>
      </c>
      <c r="D501" s="27" t="s">
        <v>448</v>
      </c>
      <c r="E501" s="27" t="s">
        <v>41</v>
      </c>
      <c r="F501" s="42" t="str" cm="1">
        <f t="array" ref="F501">_xlfn.IFS(E501="Bandung","BDG",E501="Surabaya","SBY",E501="Jakarta","JKT")</f>
        <v>SBY</v>
      </c>
      <c r="G501" s="27" t="s">
        <v>48</v>
      </c>
      <c r="H501" s="27" t="s">
        <v>449</v>
      </c>
      <c r="I501" s="27" t="s">
        <v>35</v>
      </c>
      <c r="J501" s="26">
        <v>43028</v>
      </c>
      <c r="K501" s="26">
        <v>43028</v>
      </c>
      <c r="L501" s="27">
        <f t="shared" si="44"/>
        <v>3</v>
      </c>
      <c r="M501" s="45">
        <v>27600</v>
      </c>
      <c r="N501" s="45">
        <v>43200</v>
      </c>
      <c r="O501" s="27">
        <v>76</v>
      </c>
      <c r="P501" s="46">
        <f t="shared" si="45"/>
        <v>0.3611111111111111</v>
      </c>
      <c r="Q501" s="27">
        <v>47</v>
      </c>
      <c r="R501" s="44">
        <f t="shared" si="42"/>
        <v>2030400</v>
      </c>
      <c r="S501" s="29">
        <v>0.03</v>
      </c>
      <c r="T501" s="44">
        <f t="shared" si="46"/>
        <v>1969488</v>
      </c>
      <c r="U501" s="44">
        <f t="shared" si="47"/>
        <v>672288</v>
      </c>
      <c r="V501" s="44"/>
    </row>
    <row r="502" spans="1:22" ht="14.5" x14ac:dyDescent="0.35">
      <c r="A502" s="47" t="str">
        <f t="shared" si="43"/>
        <v>JKT-KT-E1029-2018</v>
      </c>
      <c r="B502" s="26">
        <v>43214</v>
      </c>
      <c r="C502" s="42">
        <v>2018</v>
      </c>
      <c r="D502" s="27" t="s">
        <v>532</v>
      </c>
      <c r="E502" s="27" t="s">
        <v>32</v>
      </c>
      <c r="F502" s="42" t="str" cm="1">
        <f t="array" ref="F502">_xlfn.IFS(E502="Bandung","BDG",E502="Surabaya","SBY",E502="Jakarta","JKT")</f>
        <v>JKT</v>
      </c>
      <c r="G502" s="27" t="s">
        <v>37</v>
      </c>
      <c r="H502" s="27" t="s">
        <v>123</v>
      </c>
      <c r="I502" s="27" t="s">
        <v>35</v>
      </c>
      <c r="J502" s="26">
        <v>43216</v>
      </c>
      <c r="K502" s="26">
        <v>43216</v>
      </c>
      <c r="L502" s="27">
        <f t="shared" si="44"/>
        <v>2</v>
      </c>
      <c r="M502" s="45">
        <v>208200</v>
      </c>
      <c r="N502" s="45">
        <v>335700</v>
      </c>
      <c r="O502" s="27">
        <v>274</v>
      </c>
      <c r="P502" s="46">
        <f t="shared" si="45"/>
        <v>0.37980339588918677</v>
      </c>
      <c r="Q502" s="27">
        <v>50</v>
      </c>
      <c r="R502" s="44">
        <f t="shared" si="42"/>
        <v>16785000</v>
      </c>
      <c r="S502" s="29">
        <v>7.0000000000000007E-2</v>
      </c>
      <c r="T502" s="44">
        <f t="shared" si="46"/>
        <v>15610049.999999998</v>
      </c>
      <c r="U502" s="44">
        <f t="shared" si="47"/>
        <v>5200049.9999999981</v>
      </c>
      <c r="V502" s="44"/>
    </row>
    <row r="503" spans="1:22" ht="14.5" x14ac:dyDescent="0.35">
      <c r="A503" s="47" t="str">
        <f t="shared" si="43"/>
        <v>JKT-KT-E1029-2018</v>
      </c>
      <c r="B503" s="26">
        <v>43217</v>
      </c>
      <c r="C503" s="42">
        <v>2018</v>
      </c>
      <c r="D503" s="27" t="s">
        <v>532</v>
      </c>
      <c r="E503" s="27" t="s">
        <v>32</v>
      </c>
      <c r="F503" s="42" t="str" cm="1">
        <f t="array" ref="F503">_xlfn.IFS(E503="Bandung","BDG",E503="Surabaya","SBY",E503="Jakarta","JKT")</f>
        <v>JKT</v>
      </c>
      <c r="G503" s="27" t="s">
        <v>37</v>
      </c>
      <c r="H503" s="27" t="s">
        <v>49</v>
      </c>
      <c r="I503" s="27" t="s">
        <v>39</v>
      </c>
      <c r="J503" s="26" t="s">
        <v>1662</v>
      </c>
      <c r="K503" s="26">
        <v>43219</v>
      </c>
      <c r="L503" s="27">
        <f t="shared" si="44"/>
        <v>2</v>
      </c>
      <c r="M503" s="45">
        <v>13500</v>
      </c>
      <c r="N503" s="45">
        <v>31500</v>
      </c>
      <c r="O503" s="27">
        <v>117</v>
      </c>
      <c r="P503" s="46">
        <f t="shared" si="45"/>
        <v>0.5714285714285714</v>
      </c>
      <c r="Q503" s="27">
        <v>34</v>
      </c>
      <c r="R503" s="44">
        <f t="shared" si="42"/>
        <v>1071000</v>
      </c>
      <c r="S503" s="29">
        <v>0.02</v>
      </c>
      <c r="T503" s="44">
        <f t="shared" si="46"/>
        <v>1049580</v>
      </c>
      <c r="U503" s="44">
        <f t="shared" si="47"/>
        <v>590580</v>
      </c>
      <c r="V503" s="44"/>
    </row>
    <row r="504" spans="1:22" ht="14.5" x14ac:dyDescent="0.35">
      <c r="A504" s="47" t="str">
        <f t="shared" si="43"/>
        <v>SBY-KK-E1033-2020</v>
      </c>
      <c r="B504" s="26">
        <v>43888</v>
      </c>
      <c r="C504" s="42">
        <v>2020</v>
      </c>
      <c r="D504" s="27" t="s">
        <v>721</v>
      </c>
      <c r="E504" s="27" t="s">
        <v>41</v>
      </c>
      <c r="F504" s="42" t="str" cm="1">
        <f t="array" ref="F504">_xlfn.IFS(E504="Bandung","BDG",E504="Surabaya","SBY",E504="Jakarta","JKT")</f>
        <v>SBY</v>
      </c>
      <c r="G504" s="27" t="s">
        <v>60</v>
      </c>
      <c r="H504" s="27" t="s">
        <v>51</v>
      </c>
      <c r="I504" s="27" t="s">
        <v>39</v>
      </c>
      <c r="J504" s="26">
        <v>43889</v>
      </c>
      <c r="K504" s="26">
        <v>43889</v>
      </c>
      <c r="L504" s="27">
        <f t="shared" si="44"/>
        <v>1</v>
      </c>
      <c r="M504" s="45">
        <v>16350.000000000002</v>
      </c>
      <c r="N504" s="45">
        <v>39000</v>
      </c>
      <c r="O504" s="27">
        <v>180</v>
      </c>
      <c r="P504" s="46">
        <f t="shared" si="45"/>
        <v>0.58076923076923082</v>
      </c>
      <c r="Q504" s="27">
        <v>11</v>
      </c>
      <c r="R504" s="44">
        <f t="shared" si="42"/>
        <v>429000</v>
      </c>
      <c r="S504" s="29">
        <v>0.09</v>
      </c>
      <c r="T504" s="44">
        <f t="shared" si="46"/>
        <v>390390</v>
      </c>
      <c r="U504" s="44">
        <f t="shared" si="47"/>
        <v>210539.99999999997</v>
      </c>
      <c r="V504" s="44"/>
    </row>
    <row r="505" spans="1:22" ht="14.5" x14ac:dyDescent="0.35">
      <c r="A505" s="47" t="str">
        <f t="shared" si="43"/>
        <v>JKT-KB-E1029-2017</v>
      </c>
      <c r="B505" s="26">
        <v>43035</v>
      </c>
      <c r="C505" s="42">
        <v>2017</v>
      </c>
      <c r="D505" s="27" t="s">
        <v>452</v>
      </c>
      <c r="E505" s="27" t="s">
        <v>32</v>
      </c>
      <c r="F505" s="42" t="str" cm="1">
        <f t="array" ref="F505">_xlfn.IFS(E505="Bandung","BDG",E505="Surabaya","SBY",E505="Jakarta","JKT")</f>
        <v>JKT</v>
      </c>
      <c r="G505" s="27" t="s">
        <v>37</v>
      </c>
      <c r="H505" s="27" t="s">
        <v>115</v>
      </c>
      <c r="I505" s="27" t="s">
        <v>73</v>
      </c>
      <c r="J505" s="26" t="s">
        <v>1637</v>
      </c>
      <c r="K505" s="26">
        <v>43037</v>
      </c>
      <c r="L505" s="27">
        <f t="shared" si="44"/>
        <v>2</v>
      </c>
      <c r="M505" s="45">
        <v>28050</v>
      </c>
      <c r="N505" s="45">
        <v>121799.99999999999</v>
      </c>
      <c r="O505" s="27">
        <v>143</v>
      </c>
      <c r="P505" s="46">
        <f t="shared" si="45"/>
        <v>0.76970443349753692</v>
      </c>
      <c r="Q505" s="27">
        <v>4</v>
      </c>
      <c r="R505" s="44">
        <f t="shared" si="42"/>
        <v>487199.99999999994</v>
      </c>
      <c r="S505" s="29">
        <v>7.0000000000000007E-2</v>
      </c>
      <c r="T505" s="44">
        <f t="shared" si="46"/>
        <v>453095.99999999994</v>
      </c>
      <c r="U505" s="44">
        <f t="shared" si="47"/>
        <v>340895.99999999994</v>
      </c>
      <c r="V505" s="44"/>
    </row>
    <row r="506" spans="1:22" ht="14.5" x14ac:dyDescent="0.35">
      <c r="A506" s="47" t="str">
        <f t="shared" si="43"/>
        <v>SBY-KA-E1033-2017</v>
      </c>
      <c r="B506" s="26">
        <v>42752</v>
      </c>
      <c r="C506" s="42">
        <v>2017</v>
      </c>
      <c r="D506" s="27" t="s">
        <v>281</v>
      </c>
      <c r="E506" s="27" t="s">
        <v>41</v>
      </c>
      <c r="F506" s="42" t="str" cm="1">
        <f t="array" ref="F506">_xlfn.IFS(E506="Bandung","BDG",E506="Surabaya","SBY",E506="Jakarta","JKT")</f>
        <v>SBY</v>
      </c>
      <c r="G506" s="27" t="s">
        <v>60</v>
      </c>
      <c r="H506" s="27" t="s">
        <v>282</v>
      </c>
      <c r="I506" s="27" t="s">
        <v>35</v>
      </c>
      <c r="J506" s="26" t="s">
        <v>1589</v>
      </c>
      <c r="K506" s="26">
        <v>42759</v>
      </c>
      <c r="L506" s="27">
        <f t="shared" si="44"/>
        <v>7</v>
      </c>
      <c r="M506" s="45">
        <v>619200</v>
      </c>
      <c r="N506" s="45">
        <v>1439850</v>
      </c>
      <c r="O506" s="27">
        <v>57</v>
      </c>
      <c r="P506" s="46">
        <f t="shared" si="45"/>
        <v>0.56995520366704866</v>
      </c>
      <c r="Q506" s="27">
        <v>17</v>
      </c>
      <c r="R506" s="44">
        <f t="shared" si="42"/>
        <v>24477450</v>
      </c>
      <c r="S506" s="29">
        <v>0.09</v>
      </c>
      <c r="T506" s="44">
        <f t="shared" si="46"/>
        <v>22274479.5</v>
      </c>
      <c r="U506" s="44">
        <f t="shared" si="47"/>
        <v>11748079.5</v>
      </c>
      <c r="V506" s="44"/>
    </row>
    <row r="507" spans="1:22" ht="14.5" x14ac:dyDescent="0.35">
      <c r="A507" s="47" t="str">
        <f t="shared" si="43"/>
        <v>SBY-KS-E1039-2016</v>
      </c>
      <c r="B507" s="26">
        <v>42634</v>
      </c>
      <c r="C507" s="42">
        <v>2016</v>
      </c>
      <c r="D507" s="27" t="s">
        <v>167</v>
      </c>
      <c r="E507" s="27" t="s">
        <v>41</v>
      </c>
      <c r="F507" s="42" t="str" cm="1">
        <f t="array" ref="F507">_xlfn.IFS(E507="Bandung","BDG",E507="Surabaya","SBY",E507="Jakarta","JKT")</f>
        <v>SBY</v>
      </c>
      <c r="G507" s="27" t="s">
        <v>103</v>
      </c>
      <c r="H507" s="27" t="s">
        <v>168</v>
      </c>
      <c r="I507" s="27" t="s">
        <v>35</v>
      </c>
      <c r="J507" s="26">
        <v>42634</v>
      </c>
      <c r="K507" s="26">
        <v>42634</v>
      </c>
      <c r="L507" s="27">
        <f t="shared" si="44"/>
        <v>0</v>
      </c>
      <c r="M507" s="45">
        <v>2682450</v>
      </c>
      <c r="N507" s="45">
        <v>6238200</v>
      </c>
      <c r="O507" s="27">
        <v>27</v>
      </c>
      <c r="P507" s="46">
        <f t="shared" si="45"/>
        <v>0.56999615273636628</v>
      </c>
      <c r="Q507" s="27">
        <v>2</v>
      </c>
      <c r="R507" s="44">
        <f t="shared" si="42"/>
        <v>12476400</v>
      </c>
      <c r="S507" s="29">
        <v>7.0000000000000007E-2</v>
      </c>
      <c r="T507" s="44">
        <f t="shared" si="46"/>
        <v>11603052</v>
      </c>
      <c r="U507" s="44">
        <f t="shared" si="47"/>
        <v>6238152</v>
      </c>
      <c r="V507" s="44"/>
    </row>
    <row r="508" spans="1:22" ht="14.5" x14ac:dyDescent="0.35">
      <c r="A508" s="47" t="str">
        <f t="shared" si="43"/>
        <v>SBY-KS-E1039-2018</v>
      </c>
      <c r="B508" s="26">
        <v>43455</v>
      </c>
      <c r="C508" s="42">
        <v>2018</v>
      </c>
      <c r="D508" s="27" t="s">
        <v>167</v>
      </c>
      <c r="E508" s="27" t="s">
        <v>41</v>
      </c>
      <c r="F508" s="42" t="str" cm="1">
        <f t="array" ref="F508">_xlfn.IFS(E508="Bandung","BDG",E508="Surabaya","SBY",E508="Jakarta","JKT")</f>
        <v>SBY</v>
      </c>
      <c r="G508" s="27" t="s">
        <v>103</v>
      </c>
      <c r="H508" s="27" t="s">
        <v>260</v>
      </c>
      <c r="I508" s="27" t="s">
        <v>39</v>
      </c>
      <c r="J508" s="26" t="s">
        <v>1713</v>
      </c>
      <c r="K508" s="26">
        <v>43457</v>
      </c>
      <c r="L508" s="27">
        <f t="shared" si="44"/>
        <v>2</v>
      </c>
      <c r="M508" s="45">
        <v>49800</v>
      </c>
      <c r="N508" s="45">
        <v>77700</v>
      </c>
      <c r="O508" s="27">
        <v>94</v>
      </c>
      <c r="P508" s="46">
        <f t="shared" si="45"/>
        <v>0.35907335907335908</v>
      </c>
      <c r="Q508" s="27">
        <v>20</v>
      </c>
      <c r="R508" s="44">
        <f t="shared" si="42"/>
        <v>1554000</v>
      </c>
      <c r="S508" s="29">
        <v>0.06</v>
      </c>
      <c r="T508" s="44">
        <f t="shared" si="46"/>
        <v>1460760</v>
      </c>
      <c r="U508" s="44">
        <f t="shared" si="47"/>
        <v>464760</v>
      </c>
      <c r="V508" s="44"/>
    </row>
    <row r="509" spans="1:22" ht="14.5" x14ac:dyDescent="0.35">
      <c r="A509" s="47" t="str">
        <f t="shared" si="43"/>
        <v>SBY-KS-E1039-2019</v>
      </c>
      <c r="B509" s="26">
        <v>43787</v>
      </c>
      <c r="C509" s="42">
        <v>2019</v>
      </c>
      <c r="D509" s="27" t="s">
        <v>167</v>
      </c>
      <c r="E509" s="27" t="s">
        <v>41</v>
      </c>
      <c r="F509" s="42" t="str" cm="1">
        <f t="array" ref="F509">_xlfn.IFS(E509="Bandung","BDG",E509="Surabaya","SBY",E509="Jakarta","JKT")</f>
        <v>SBY</v>
      </c>
      <c r="G509" s="27" t="s">
        <v>103</v>
      </c>
      <c r="H509" s="27" t="s">
        <v>227</v>
      </c>
      <c r="I509" s="27" t="s">
        <v>39</v>
      </c>
      <c r="J509" s="26">
        <v>43788</v>
      </c>
      <c r="K509" s="26">
        <v>43788</v>
      </c>
      <c r="L509" s="27">
        <f t="shared" si="44"/>
        <v>1</v>
      </c>
      <c r="M509" s="45">
        <v>17550</v>
      </c>
      <c r="N509" s="45">
        <v>41700</v>
      </c>
      <c r="O509" s="27">
        <v>180</v>
      </c>
      <c r="P509" s="46">
        <f t="shared" si="45"/>
        <v>0.57913669064748197</v>
      </c>
      <c r="Q509" s="27">
        <v>6</v>
      </c>
      <c r="R509" s="44">
        <f t="shared" si="42"/>
        <v>250200</v>
      </c>
      <c r="S509" s="29">
        <v>0.01</v>
      </c>
      <c r="T509" s="44">
        <f t="shared" si="46"/>
        <v>247698</v>
      </c>
      <c r="U509" s="44">
        <f t="shared" si="47"/>
        <v>142398</v>
      </c>
      <c r="V509" s="44"/>
    </row>
    <row r="510" spans="1:22" ht="14.5" x14ac:dyDescent="0.35">
      <c r="A510" s="47" t="str">
        <f t="shared" si="43"/>
        <v>SBY-KY-E1031-2018</v>
      </c>
      <c r="B510" s="26">
        <v>43458</v>
      </c>
      <c r="C510" s="42">
        <v>2018</v>
      </c>
      <c r="D510" s="27" t="s">
        <v>626</v>
      </c>
      <c r="E510" s="27" t="s">
        <v>41</v>
      </c>
      <c r="F510" s="42" t="str" cm="1">
        <f t="array" ref="F510">_xlfn.IFS(E510="Bandung","BDG",E510="Surabaya","SBY",E510="Jakarta","JKT")</f>
        <v>SBY</v>
      </c>
      <c r="G510" s="27" t="s">
        <v>48</v>
      </c>
      <c r="H510" s="27" t="s">
        <v>311</v>
      </c>
      <c r="I510" s="27" t="s">
        <v>39</v>
      </c>
      <c r="J510" s="26" t="s">
        <v>1714</v>
      </c>
      <c r="K510" s="26">
        <v>43458</v>
      </c>
      <c r="L510" s="27">
        <f t="shared" si="44"/>
        <v>0</v>
      </c>
      <c r="M510" s="45">
        <v>26400</v>
      </c>
      <c r="N510" s="45">
        <v>44100</v>
      </c>
      <c r="O510" s="27">
        <v>108</v>
      </c>
      <c r="P510" s="46">
        <f t="shared" si="45"/>
        <v>0.40136054421768708</v>
      </c>
      <c r="Q510" s="27">
        <v>47</v>
      </c>
      <c r="R510" s="44">
        <f t="shared" si="42"/>
        <v>2072700</v>
      </c>
      <c r="S510" s="29">
        <v>0.04</v>
      </c>
      <c r="T510" s="44">
        <f t="shared" si="46"/>
        <v>1989792</v>
      </c>
      <c r="U510" s="44">
        <f t="shared" si="47"/>
        <v>748992</v>
      </c>
      <c r="V510" s="44"/>
    </row>
    <row r="511" spans="1:22" ht="14.5" x14ac:dyDescent="0.35">
      <c r="A511" s="47" t="str">
        <f t="shared" si="43"/>
        <v>SBY-KY-E1031-2019</v>
      </c>
      <c r="B511" s="26">
        <v>43586</v>
      </c>
      <c r="C511" s="42">
        <v>2019</v>
      </c>
      <c r="D511" s="27" t="s">
        <v>626</v>
      </c>
      <c r="E511" s="27" t="s">
        <v>41</v>
      </c>
      <c r="F511" s="42" t="str" cm="1">
        <f t="array" ref="F511">_xlfn.IFS(E511="Bandung","BDG",E511="Surabaya","SBY",E511="Jakarta","JKT")</f>
        <v>SBY</v>
      </c>
      <c r="G511" s="27" t="s">
        <v>48</v>
      </c>
      <c r="H511" s="27" t="s">
        <v>115</v>
      </c>
      <c r="I511" s="27" t="s">
        <v>73</v>
      </c>
      <c r="J511" s="26">
        <v>43586</v>
      </c>
      <c r="K511" s="26">
        <v>43470</v>
      </c>
      <c r="L511" s="27">
        <f t="shared" si="44"/>
        <v>-116</v>
      </c>
      <c r="M511" s="45">
        <v>28050</v>
      </c>
      <c r="N511" s="45">
        <v>121799.99999999999</v>
      </c>
      <c r="O511" s="27">
        <v>139</v>
      </c>
      <c r="P511" s="46">
        <f t="shared" si="45"/>
        <v>0.76970443349753692</v>
      </c>
      <c r="Q511" s="27">
        <v>36</v>
      </c>
      <c r="R511" s="44">
        <f t="shared" si="42"/>
        <v>4384799.9999999991</v>
      </c>
      <c r="S511" s="29">
        <v>0.1</v>
      </c>
      <c r="T511" s="44">
        <f t="shared" si="46"/>
        <v>3946319.9999999991</v>
      </c>
      <c r="U511" s="44">
        <f t="shared" si="47"/>
        <v>2936519.9999999991</v>
      </c>
      <c r="V511" s="44"/>
    </row>
    <row r="512" spans="1:22" ht="14.5" x14ac:dyDescent="0.35">
      <c r="A512" s="47" t="str">
        <f t="shared" si="43"/>
        <v>SBY-KY-E1031-2020</v>
      </c>
      <c r="B512" s="26">
        <v>43884</v>
      </c>
      <c r="C512" s="42">
        <v>2020</v>
      </c>
      <c r="D512" s="27" t="s">
        <v>626</v>
      </c>
      <c r="E512" s="27" t="s">
        <v>41</v>
      </c>
      <c r="F512" s="42" t="str" cm="1">
        <f t="array" ref="F512">_xlfn.IFS(E512="Bandung","BDG",E512="Surabaya","SBY",E512="Jakarta","JKT")</f>
        <v>SBY</v>
      </c>
      <c r="G512" s="27" t="s">
        <v>48</v>
      </c>
      <c r="H512" s="27" t="s">
        <v>158</v>
      </c>
      <c r="I512" s="27" t="s">
        <v>73</v>
      </c>
      <c r="J512" s="26" t="s">
        <v>1776</v>
      </c>
      <c r="K512" s="26">
        <v>43886</v>
      </c>
      <c r="L512" s="27">
        <f t="shared" si="44"/>
        <v>2</v>
      </c>
      <c r="M512" s="45">
        <v>302700</v>
      </c>
      <c r="N512" s="45">
        <v>531150</v>
      </c>
      <c r="O512" s="27">
        <v>90</v>
      </c>
      <c r="P512" s="46">
        <f t="shared" si="45"/>
        <v>0.43010449025698955</v>
      </c>
      <c r="Q512" s="27">
        <v>21</v>
      </c>
      <c r="R512" s="44">
        <f t="shared" si="42"/>
        <v>11154150</v>
      </c>
      <c r="S512" s="29">
        <v>0.09</v>
      </c>
      <c r="T512" s="44">
        <f t="shared" si="46"/>
        <v>10150276.5</v>
      </c>
      <c r="U512" s="44">
        <f t="shared" si="47"/>
        <v>3793576.5</v>
      </c>
      <c r="V512" s="44"/>
    </row>
    <row r="513" spans="1:22" ht="14.5" x14ac:dyDescent="0.35">
      <c r="A513" s="47" t="str">
        <f t="shared" si="43"/>
        <v>JKT-KS-E1029-2018</v>
      </c>
      <c r="B513" s="26">
        <v>43146</v>
      </c>
      <c r="C513" s="42">
        <v>2018</v>
      </c>
      <c r="D513" s="27" t="s">
        <v>503</v>
      </c>
      <c r="E513" s="27" t="s">
        <v>32</v>
      </c>
      <c r="F513" s="42" t="str" cm="1">
        <f t="array" ref="F513">_xlfn.IFS(E513="Bandung","BDG",E513="Surabaya","SBY",E513="Jakarta","JKT")</f>
        <v>JKT</v>
      </c>
      <c r="G513" s="27" t="s">
        <v>37</v>
      </c>
      <c r="H513" s="27" t="s">
        <v>92</v>
      </c>
      <c r="I513" s="27" t="s">
        <v>39</v>
      </c>
      <c r="J513" s="26">
        <v>43150</v>
      </c>
      <c r="K513" s="26">
        <v>43150</v>
      </c>
      <c r="L513" s="27">
        <f t="shared" si="44"/>
        <v>4</v>
      </c>
      <c r="M513" s="45">
        <v>37800</v>
      </c>
      <c r="N513" s="45">
        <v>60000</v>
      </c>
      <c r="O513" s="27">
        <v>154</v>
      </c>
      <c r="P513" s="46">
        <f t="shared" si="45"/>
        <v>0.37</v>
      </c>
      <c r="Q513" s="27">
        <v>32</v>
      </c>
      <c r="R513" s="44">
        <f t="shared" si="42"/>
        <v>1920000</v>
      </c>
      <c r="S513" s="29">
        <v>0.09</v>
      </c>
      <c r="T513" s="44">
        <f t="shared" si="46"/>
        <v>1747200</v>
      </c>
      <c r="U513" s="44">
        <f t="shared" si="47"/>
        <v>537600</v>
      </c>
      <c r="V513" s="44"/>
    </row>
    <row r="514" spans="1:22" ht="14.5" x14ac:dyDescent="0.35">
      <c r="A514" s="47" t="str">
        <f t="shared" si="43"/>
        <v>JKT-KS-E1029-2018</v>
      </c>
      <c r="B514" s="26">
        <v>43355</v>
      </c>
      <c r="C514" s="42">
        <v>2018</v>
      </c>
      <c r="D514" s="27" t="s">
        <v>503</v>
      </c>
      <c r="E514" s="27" t="s">
        <v>32</v>
      </c>
      <c r="F514" s="42" t="str" cm="1">
        <f t="array" ref="F514">_xlfn.IFS(E514="Bandung","BDG",E514="Surabaya","SBY",E514="Jakarta","JKT")</f>
        <v>JKT</v>
      </c>
      <c r="G514" s="27" t="s">
        <v>37</v>
      </c>
      <c r="H514" s="27" t="s">
        <v>115</v>
      </c>
      <c r="I514" s="27" t="s">
        <v>73</v>
      </c>
      <c r="J514" s="26">
        <v>43356</v>
      </c>
      <c r="K514" s="26">
        <v>43356</v>
      </c>
      <c r="L514" s="27">
        <f t="shared" si="44"/>
        <v>1</v>
      </c>
      <c r="M514" s="45">
        <v>28050</v>
      </c>
      <c r="N514" s="45">
        <v>121799.99999999999</v>
      </c>
      <c r="O514" s="27">
        <v>103</v>
      </c>
      <c r="P514" s="46">
        <f t="shared" si="45"/>
        <v>0.76970443349753692</v>
      </c>
      <c r="Q514" s="27">
        <v>3</v>
      </c>
      <c r="R514" s="44">
        <f t="shared" si="42"/>
        <v>365399.99999999994</v>
      </c>
      <c r="S514" s="29">
        <v>0.03</v>
      </c>
      <c r="T514" s="44">
        <f t="shared" si="46"/>
        <v>354437.99999999994</v>
      </c>
      <c r="U514" s="44">
        <f t="shared" si="47"/>
        <v>270287.99999999994</v>
      </c>
      <c r="V514" s="44"/>
    </row>
    <row r="515" spans="1:22" ht="14.5" x14ac:dyDescent="0.35">
      <c r="A515" s="47" t="str">
        <f t="shared" si="43"/>
        <v>JKT-KS-E1029-2019</v>
      </c>
      <c r="B515" s="26">
        <v>43613</v>
      </c>
      <c r="C515" s="42">
        <v>2019</v>
      </c>
      <c r="D515" s="27" t="s">
        <v>503</v>
      </c>
      <c r="E515" s="27" t="s">
        <v>32</v>
      </c>
      <c r="F515" s="42" t="str" cm="1">
        <f t="array" ref="F515">_xlfn.IFS(E515="Bandung","BDG",E515="Surabaya","SBY",E515="Jakarta","JKT")</f>
        <v>JKT</v>
      </c>
      <c r="G515" s="27" t="s">
        <v>37</v>
      </c>
      <c r="H515" s="27" t="s">
        <v>174</v>
      </c>
      <c r="I515" s="27" t="s">
        <v>39</v>
      </c>
      <c r="J515" s="26" t="s">
        <v>1732</v>
      </c>
      <c r="K515" s="26">
        <v>43616</v>
      </c>
      <c r="L515" s="27">
        <f t="shared" si="44"/>
        <v>3</v>
      </c>
      <c r="M515" s="45">
        <v>43500</v>
      </c>
      <c r="N515" s="45">
        <v>71400</v>
      </c>
      <c r="O515" s="27">
        <v>72</v>
      </c>
      <c r="P515" s="46">
        <f t="shared" si="45"/>
        <v>0.3907563025210084</v>
      </c>
      <c r="Q515" s="27">
        <v>33</v>
      </c>
      <c r="R515" s="44">
        <f t="shared" si="42"/>
        <v>2356200</v>
      </c>
      <c r="S515" s="29">
        <v>0.06</v>
      </c>
      <c r="T515" s="44">
        <f t="shared" si="46"/>
        <v>2214828</v>
      </c>
      <c r="U515" s="44">
        <f t="shared" si="47"/>
        <v>779328</v>
      </c>
      <c r="V515" s="44"/>
    </row>
    <row r="516" spans="1:22" ht="14.5" x14ac:dyDescent="0.35">
      <c r="A516" s="47" t="str">
        <f t="shared" si="43"/>
        <v>JKT-KS-E1029-2019</v>
      </c>
      <c r="B516" s="26">
        <v>43799</v>
      </c>
      <c r="C516" s="42">
        <v>2019</v>
      </c>
      <c r="D516" s="27" t="s">
        <v>503</v>
      </c>
      <c r="E516" s="27" t="s">
        <v>32</v>
      </c>
      <c r="F516" s="42" t="str" cm="1">
        <f t="array" ref="F516">_xlfn.IFS(E516="Bandung","BDG",E516="Surabaya","SBY",E516="Jakarta","JKT")</f>
        <v>JKT</v>
      </c>
      <c r="G516" s="27" t="s">
        <v>37</v>
      </c>
      <c r="H516" s="27" t="s">
        <v>174</v>
      </c>
      <c r="I516" s="27" t="s">
        <v>39</v>
      </c>
      <c r="J516" s="26">
        <v>43800</v>
      </c>
      <c r="K516" s="26">
        <v>43477</v>
      </c>
      <c r="L516" s="27">
        <f t="shared" si="44"/>
        <v>-322</v>
      </c>
      <c r="M516" s="45">
        <v>43500</v>
      </c>
      <c r="N516" s="45">
        <v>71400</v>
      </c>
      <c r="O516" s="27">
        <v>39</v>
      </c>
      <c r="P516" s="46">
        <f t="shared" si="45"/>
        <v>0.3907563025210084</v>
      </c>
      <c r="Q516" s="27">
        <v>1</v>
      </c>
      <c r="R516" s="44">
        <f t="shared" ref="R516:R579" si="48">N516*Q516</f>
        <v>71400</v>
      </c>
      <c r="S516" s="29">
        <v>0.02</v>
      </c>
      <c r="T516" s="44">
        <f t="shared" si="46"/>
        <v>69972</v>
      </c>
      <c r="U516" s="44">
        <f t="shared" si="47"/>
        <v>26472</v>
      </c>
      <c r="V516" s="44"/>
    </row>
    <row r="517" spans="1:22" ht="14.5" x14ac:dyDescent="0.35">
      <c r="A517" s="47" t="str">
        <f t="shared" ref="A517:A580" si="49">_xlfn.CONCAT(F517,"-",LEFT(D517,1),MID(D517,FIND(" ",D517)+1,1),"-",G517,"-",C517)</f>
        <v>JKT-KW-E1029-2018</v>
      </c>
      <c r="B517" s="26">
        <v>43418</v>
      </c>
      <c r="C517" s="42">
        <v>2018</v>
      </c>
      <c r="D517" s="27" t="s">
        <v>615</v>
      </c>
      <c r="E517" s="27" t="s">
        <v>32</v>
      </c>
      <c r="F517" s="42" t="str" cm="1">
        <f t="array" ref="F517">_xlfn.IFS(E517="Bandung","BDG",E517="Surabaya","SBY",E517="Jakarta","JKT")</f>
        <v>JKT</v>
      </c>
      <c r="G517" s="27" t="s">
        <v>37</v>
      </c>
      <c r="H517" s="27" t="s">
        <v>150</v>
      </c>
      <c r="I517" s="27" t="s">
        <v>35</v>
      </c>
      <c r="J517" s="26">
        <v>43420</v>
      </c>
      <c r="K517" s="26">
        <v>43420</v>
      </c>
      <c r="L517" s="27">
        <f t="shared" ref="L517:L580" si="50">K517-B517</f>
        <v>2</v>
      </c>
      <c r="M517" s="45">
        <v>185850</v>
      </c>
      <c r="N517" s="45">
        <v>299700</v>
      </c>
      <c r="O517" s="27">
        <v>156</v>
      </c>
      <c r="P517" s="46">
        <f t="shared" ref="P517:P580" si="51">(N517-M517)/N517</f>
        <v>0.37987987987987987</v>
      </c>
      <c r="Q517" s="27">
        <v>44</v>
      </c>
      <c r="R517" s="44">
        <f t="shared" si="48"/>
        <v>13186800</v>
      </c>
      <c r="S517" s="29">
        <v>7.0000000000000007E-2</v>
      </c>
      <c r="T517" s="44">
        <f t="shared" ref="T517:T580" si="52">R517*(1-S517)</f>
        <v>12263724</v>
      </c>
      <c r="U517" s="44">
        <f t="shared" ref="U517:U580" si="53">T517-(M517*Q517)</f>
        <v>4086324</v>
      </c>
      <c r="V517" s="44"/>
    </row>
    <row r="518" spans="1:22" ht="14.5" x14ac:dyDescent="0.35">
      <c r="A518" s="47" t="str">
        <f t="shared" si="49"/>
        <v>SBY-KS-E1031-2016</v>
      </c>
      <c r="B518" s="26">
        <v>42721</v>
      </c>
      <c r="C518" s="42">
        <v>2016</v>
      </c>
      <c r="D518" s="27" t="s">
        <v>261</v>
      </c>
      <c r="E518" s="27" t="s">
        <v>41</v>
      </c>
      <c r="F518" s="42" t="str" cm="1">
        <f t="array" ref="F518">_xlfn.IFS(E518="Bandung","BDG",E518="Surabaya","SBY",E518="Jakarta","JKT")</f>
        <v>SBY</v>
      </c>
      <c r="G518" s="27" t="s">
        <v>48</v>
      </c>
      <c r="H518" s="27" t="s">
        <v>142</v>
      </c>
      <c r="I518" s="27" t="s">
        <v>35</v>
      </c>
      <c r="J518" s="26" t="s">
        <v>1584</v>
      </c>
      <c r="K518" s="26">
        <v>42726</v>
      </c>
      <c r="L518" s="27">
        <f t="shared" si="50"/>
        <v>5</v>
      </c>
      <c r="M518" s="45">
        <v>57600</v>
      </c>
      <c r="N518" s="45">
        <v>94500</v>
      </c>
      <c r="O518" s="27">
        <v>156</v>
      </c>
      <c r="P518" s="46">
        <f t="shared" si="51"/>
        <v>0.39047619047619048</v>
      </c>
      <c r="Q518" s="27">
        <v>39</v>
      </c>
      <c r="R518" s="44">
        <f t="shared" si="48"/>
        <v>3685500</v>
      </c>
      <c r="S518" s="29">
        <v>0.1</v>
      </c>
      <c r="T518" s="44">
        <f t="shared" si="52"/>
        <v>3316950</v>
      </c>
      <c r="U518" s="44">
        <f t="shared" si="53"/>
        <v>1070550</v>
      </c>
      <c r="V518" s="44"/>
    </row>
    <row r="519" spans="1:22" ht="14.5" x14ac:dyDescent="0.35">
      <c r="A519" s="47" t="str">
        <f t="shared" si="49"/>
        <v>SBY-KZ-E1040-2018</v>
      </c>
      <c r="B519" s="26">
        <v>43216</v>
      </c>
      <c r="C519" s="42">
        <v>2018</v>
      </c>
      <c r="D519" s="27" t="s">
        <v>534</v>
      </c>
      <c r="E519" s="27" t="s">
        <v>41</v>
      </c>
      <c r="F519" s="42" t="str" cm="1">
        <f t="array" ref="F519">_xlfn.IFS(E519="Bandung","BDG",E519="Surabaya","SBY",E519="Jakarta","JKT")</f>
        <v>SBY</v>
      </c>
      <c r="G519" s="27" t="s">
        <v>160</v>
      </c>
      <c r="H519" s="27" t="s">
        <v>87</v>
      </c>
      <c r="I519" s="27" t="s">
        <v>35</v>
      </c>
      <c r="J519" s="26" t="s">
        <v>1661</v>
      </c>
      <c r="K519" s="26">
        <v>43218</v>
      </c>
      <c r="L519" s="27">
        <f t="shared" si="50"/>
        <v>2</v>
      </c>
      <c r="M519" s="45">
        <v>52800</v>
      </c>
      <c r="N519" s="45">
        <v>85200</v>
      </c>
      <c r="O519" s="27">
        <v>130</v>
      </c>
      <c r="P519" s="46">
        <f t="shared" si="51"/>
        <v>0.38028169014084506</v>
      </c>
      <c r="Q519" s="27">
        <v>18</v>
      </c>
      <c r="R519" s="44">
        <f t="shared" si="48"/>
        <v>1533600</v>
      </c>
      <c r="S519" s="29">
        <v>0.06</v>
      </c>
      <c r="T519" s="44">
        <f t="shared" si="52"/>
        <v>1441584</v>
      </c>
      <c r="U519" s="44">
        <f t="shared" si="53"/>
        <v>491184</v>
      </c>
      <c r="V519" s="44"/>
    </row>
    <row r="520" spans="1:22" ht="14.5" x14ac:dyDescent="0.35">
      <c r="A520" s="47" t="str">
        <f t="shared" si="49"/>
        <v>SBY-KW-E1031-2017</v>
      </c>
      <c r="B520" s="26">
        <v>42796</v>
      </c>
      <c r="C520" s="42">
        <v>2017</v>
      </c>
      <c r="D520" s="27" t="s">
        <v>316</v>
      </c>
      <c r="E520" s="27" t="s">
        <v>41</v>
      </c>
      <c r="F520" s="42" t="str" cm="1">
        <f t="array" ref="F520">_xlfn.IFS(E520="Bandung","BDG",E520="Surabaya","SBY",E520="Jakarta","JKT")</f>
        <v>SBY</v>
      </c>
      <c r="G520" s="27" t="s">
        <v>48</v>
      </c>
      <c r="H520" s="27" t="s">
        <v>178</v>
      </c>
      <c r="I520" s="27" t="s">
        <v>39</v>
      </c>
      <c r="J520" s="26">
        <v>42828</v>
      </c>
      <c r="K520" s="26">
        <v>42798</v>
      </c>
      <c r="L520" s="27">
        <f t="shared" si="50"/>
        <v>2</v>
      </c>
      <c r="M520" s="45">
        <v>24000</v>
      </c>
      <c r="N520" s="45">
        <v>39300</v>
      </c>
      <c r="O520" s="27">
        <v>189</v>
      </c>
      <c r="P520" s="46">
        <f t="shared" si="51"/>
        <v>0.38931297709923662</v>
      </c>
      <c r="Q520" s="27">
        <v>26</v>
      </c>
      <c r="R520" s="44">
        <f t="shared" si="48"/>
        <v>1021800</v>
      </c>
      <c r="S520" s="29">
        <v>0.09</v>
      </c>
      <c r="T520" s="44">
        <f t="shared" si="52"/>
        <v>929838</v>
      </c>
      <c r="U520" s="44">
        <f t="shared" si="53"/>
        <v>305838</v>
      </c>
      <c r="V520" s="44"/>
    </row>
    <row r="521" spans="1:22" ht="14.5" x14ac:dyDescent="0.35">
      <c r="A521" s="47" t="str">
        <f t="shared" si="49"/>
        <v>SBY-KW-E1031-2018</v>
      </c>
      <c r="B521" s="26">
        <v>43232</v>
      </c>
      <c r="C521" s="42">
        <v>2018</v>
      </c>
      <c r="D521" s="27" t="s">
        <v>316</v>
      </c>
      <c r="E521" s="27" t="s">
        <v>41</v>
      </c>
      <c r="F521" s="42" t="str" cm="1">
        <f t="array" ref="F521">_xlfn.IFS(E521="Bandung","BDG",E521="Surabaya","SBY",E521="Jakarta","JKT")</f>
        <v>SBY</v>
      </c>
      <c r="G521" s="27" t="s">
        <v>48</v>
      </c>
      <c r="H521" s="27" t="s">
        <v>303</v>
      </c>
      <c r="I521" s="27" t="s">
        <v>35</v>
      </c>
      <c r="J521" s="26">
        <v>43233</v>
      </c>
      <c r="K521" s="26">
        <v>43233</v>
      </c>
      <c r="L521" s="27">
        <f t="shared" si="50"/>
        <v>1</v>
      </c>
      <c r="M521" s="45">
        <v>34350</v>
      </c>
      <c r="N521" s="45">
        <v>55350</v>
      </c>
      <c r="O521" s="27">
        <v>162</v>
      </c>
      <c r="P521" s="46">
        <f t="shared" si="51"/>
        <v>0.37940379403794039</v>
      </c>
      <c r="Q521" s="27">
        <v>4</v>
      </c>
      <c r="R521" s="44">
        <f t="shared" si="48"/>
        <v>221400</v>
      </c>
      <c r="S521" s="29">
        <v>0.01</v>
      </c>
      <c r="T521" s="44">
        <f t="shared" si="52"/>
        <v>219186</v>
      </c>
      <c r="U521" s="44">
        <f t="shared" si="53"/>
        <v>81786</v>
      </c>
      <c r="V521" s="44"/>
    </row>
    <row r="522" spans="1:22" ht="14.5" x14ac:dyDescent="0.35">
      <c r="A522" s="47" t="str">
        <f t="shared" si="49"/>
        <v>SBY-KW-E1031-2018</v>
      </c>
      <c r="B522" s="26">
        <v>43444</v>
      </c>
      <c r="C522" s="42">
        <v>2018</v>
      </c>
      <c r="D522" s="27" t="s">
        <v>316</v>
      </c>
      <c r="E522" s="27" t="s">
        <v>41</v>
      </c>
      <c r="F522" s="42" t="str" cm="1">
        <f t="array" ref="F522">_xlfn.IFS(E522="Bandung","BDG",E522="Surabaya","SBY",E522="Jakarta","JKT")</f>
        <v>SBY</v>
      </c>
      <c r="G522" s="27" t="s">
        <v>48</v>
      </c>
      <c r="H522" s="27" t="s">
        <v>221</v>
      </c>
      <c r="I522" s="27" t="s">
        <v>35</v>
      </c>
      <c r="J522" s="26">
        <v>43446</v>
      </c>
      <c r="K522" s="26">
        <v>43446</v>
      </c>
      <c r="L522" s="27">
        <f t="shared" si="50"/>
        <v>2</v>
      </c>
      <c r="M522" s="45">
        <v>29100</v>
      </c>
      <c r="N522" s="45">
        <v>46200</v>
      </c>
      <c r="O522" s="27">
        <v>171</v>
      </c>
      <c r="P522" s="46">
        <f t="shared" si="51"/>
        <v>0.37012987012987014</v>
      </c>
      <c r="Q522" s="27">
        <v>6</v>
      </c>
      <c r="R522" s="44">
        <f t="shared" si="48"/>
        <v>277200</v>
      </c>
      <c r="S522" s="29">
        <v>0.02</v>
      </c>
      <c r="T522" s="44">
        <f t="shared" si="52"/>
        <v>271656</v>
      </c>
      <c r="U522" s="44">
        <f t="shared" si="53"/>
        <v>97056</v>
      </c>
      <c r="V522" s="44"/>
    </row>
    <row r="523" spans="1:22" ht="14.5" x14ac:dyDescent="0.35">
      <c r="A523" s="47" t="str">
        <f t="shared" si="49"/>
        <v>SBY-KW-E1031-2020</v>
      </c>
      <c r="B523" s="26">
        <v>43844</v>
      </c>
      <c r="C523" s="42">
        <v>2020</v>
      </c>
      <c r="D523" s="27" t="s">
        <v>316</v>
      </c>
      <c r="E523" s="27" t="s">
        <v>41</v>
      </c>
      <c r="F523" s="42" t="str" cm="1">
        <f t="array" ref="F523">_xlfn.IFS(E523="Bandung","BDG",E523="Surabaya","SBY",E523="Jakarta","JKT")</f>
        <v>SBY</v>
      </c>
      <c r="G523" s="27" t="s">
        <v>48</v>
      </c>
      <c r="H523" s="27" t="s">
        <v>171</v>
      </c>
      <c r="I523" s="27" t="s">
        <v>35</v>
      </c>
      <c r="J523" s="26" t="s">
        <v>1765</v>
      </c>
      <c r="K523" s="26">
        <v>43845</v>
      </c>
      <c r="L523" s="27">
        <f t="shared" si="50"/>
        <v>1</v>
      </c>
      <c r="M523" s="45">
        <v>297450</v>
      </c>
      <c r="N523" s="45">
        <v>464700</v>
      </c>
      <c r="O523" s="27">
        <v>147</v>
      </c>
      <c r="P523" s="46">
        <f t="shared" si="51"/>
        <v>0.35990961910910263</v>
      </c>
      <c r="Q523" s="27">
        <v>37</v>
      </c>
      <c r="R523" s="44">
        <f t="shared" si="48"/>
        <v>17193900</v>
      </c>
      <c r="S523" s="29">
        <v>0.01</v>
      </c>
      <c r="T523" s="44">
        <f t="shared" si="52"/>
        <v>17021961</v>
      </c>
      <c r="U523" s="44">
        <f t="shared" si="53"/>
        <v>6016311</v>
      </c>
      <c r="V523" s="44"/>
    </row>
    <row r="524" spans="1:22" ht="14.5" x14ac:dyDescent="0.35">
      <c r="A524" s="47" t="str">
        <f t="shared" si="49"/>
        <v>SBY-KM-E1030-2018</v>
      </c>
      <c r="B524" s="26">
        <v>43338</v>
      </c>
      <c r="C524" s="42">
        <v>2018</v>
      </c>
      <c r="D524" s="27" t="s">
        <v>583</v>
      </c>
      <c r="E524" s="27" t="s">
        <v>41</v>
      </c>
      <c r="F524" s="42" t="str" cm="1">
        <f t="array" ref="F524">_xlfn.IFS(E524="Bandung","BDG",E524="Surabaya","SBY",E524="Jakarta","JKT")</f>
        <v>SBY</v>
      </c>
      <c r="G524" s="27" t="s">
        <v>42</v>
      </c>
      <c r="H524" s="27" t="s">
        <v>204</v>
      </c>
      <c r="I524" s="27" t="s">
        <v>39</v>
      </c>
      <c r="J524" s="26">
        <v>43338</v>
      </c>
      <c r="K524" s="26">
        <v>43338</v>
      </c>
      <c r="L524" s="27">
        <f t="shared" si="50"/>
        <v>0</v>
      </c>
      <c r="M524" s="45">
        <v>3600</v>
      </c>
      <c r="N524" s="45">
        <v>18900</v>
      </c>
      <c r="O524" s="27">
        <v>192</v>
      </c>
      <c r="P524" s="46">
        <f t="shared" si="51"/>
        <v>0.80952380952380953</v>
      </c>
      <c r="Q524" s="27">
        <v>35</v>
      </c>
      <c r="R524" s="44">
        <f t="shared" si="48"/>
        <v>661500</v>
      </c>
      <c r="S524" s="29">
        <v>0.06</v>
      </c>
      <c r="T524" s="44">
        <f t="shared" si="52"/>
        <v>621810</v>
      </c>
      <c r="U524" s="44">
        <f t="shared" si="53"/>
        <v>495810</v>
      </c>
      <c r="V524" s="44"/>
    </row>
    <row r="525" spans="1:22" ht="14.5" x14ac:dyDescent="0.35">
      <c r="A525" s="47" t="str">
        <f t="shared" si="49"/>
        <v>SBY-JS-E1039-2016</v>
      </c>
      <c r="B525" s="26">
        <v>42655</v>
      </c>
      <c r="C525" s="42">
        <v>2016</v>
      </c>
      <c r="D525" s="27" t="s">
        <v>188</v>
      </c>
      <c r="E525" s="27" t="s">
        <v>41</v>
      </c>
      <c r="F525" s="42" t="str" cm="1">
        <f t="array" ref="F525">_xlfn.IFS(E525="Bandung","BDG",E525="Surabaya","SBY",E525="Jakarta","JKT")</f>
        <v>SBY</v>
      </c>
      <c r="G525" s="27" t="s">
        <v>103</v>
      </c>
      <c r="H525" s="27" t="s">
        <v>99</v>
      </c>
      <c r="I525" s="27" t="s">
        <v>35</v>
      </c>
      <c r="J525" s="26">
        <v>42659</v>
      </c>
      <c r="K525" s="26">
        <v>42659</v>
      </c>
      <c r="L525" s="27">
        <f t="shared" si="50"/>
        <v>4</v>
      </c>
      <c r="M525" s="45">
        <v>95850</v>
      </c>
      <c r="N525" s="45">
        <v>299700</v>
      </c>
      <c r="O525" s="27">
        <v>237</v>
      </c>
      <c r="P525" s="46">
        <f t="shared" si="51"/>
        <v>0.68018018018018023</v>
      </c>
      <c r="Q525" s="27">
        <v>19</v>
      </c>
      <c r="R525" s="44">
        <f t="shared" si="48"/>
        <v>5694300</v>
      </c>
      <c r="S525" s="29">
        <v>0.08</v>
      </c>
      <c r="T525" s="44">
        <f t="shared" si="52"/>
        <v>5238756</v>
      </c>
      <c r="U525" s="44">
        <f t="shared" si="53"/>
        <v>3417606</v>
      </c>
      <c r="V525" s="44"/>
    </row>
    <row r="526" spans="1:22" ht="14.5" x14ac:dyDescent="0.35">
      <c r="A526" s="47" t="str">
        <f t="shared" si="49"/>
        <v>SBY-JS-E1039-2019</v>
      </c>
      <c r="B526" s="26">
        <v>43514</v>
      </c>
      <c r="C526" s="42">
        <v>2019</v>
      </c>
      <c r="D526" s="27" t="s">
        <v>188</v>
      </c>
      <c r="E526" s="27" t="s">
        <v>41</v>
      </c>
      <c r="F526" s="42" t="str" cm="1">
        <f t="array" ref="F526">_xlfn.IFS(E526="Bandung","BDG",E526="Surabaya","SBY",E526="Jakarta","JKT")</f>
        <v>SBY</v>
      </c>
      <c r="G526" s="27" t="s">
        <v>103</v>
      </c>
      <c r="H526" s="27" t="s">
        <v>58</v>
      </c>
      <c r="I526" s="27" t="s">
        <v>35</v>
      </c>
      <c r="J526" s="26" t="s">
        <v>1721</v>
      </c>
      <c r="K526" s="26">
        <v>43521</v>
      </c>
      <c r="L526" s="27">
        <f t="shared" si="50"/>
        <v>7</v>
      </c>
      <c r="M526" s="45">
        <v>814350</v>
      </c>
      <c r="N526" s="45">
        <v>1357200</v>
      </c>
      <c r="O526" s="27">
        <v>92</v>
      </c>
      <c r="P526" s="46">
        <f t="shared" si="51"/>
        <v>0.39997789566755082</v>
      </c>
      <c r="Q526" s="27">
        <v>49</v>
      </c>
      <c r="R526" s="44">
        <f t="shared" si="48"/>
        <v>66502800</v>
      </c>
      <c r="S526" s="29">
        <v>0.05</v>
      </c>
      <c r="T526" s="44">
        <f t="shared" si="52"/>
        <v>63177660</v>
      </c>
      <c r="U526" s="44">
        <f t="shared" si="53"/>
        <v>23274510</v>
      </c>
      <c r="V526" s="44"/>
    </row>
    <row r="527" spans="1:22" ht="14.5" x14ac:dyDescent="0.35">
      <c r="A527" s="47" t="str">
        <f t="shared" si="49"/>
        <v>JKT-JS-E1029-2017</v>
      </c>
      <c r="B527" s="26">
        <v>43050</v>
      </c>
      <c r="C527" s="42">
        <v>2017</v>
      </c>
      <c r="D527" s="27" t="s">
        <v>464</v>
      </c>
      <c r="E527" s="27" t="s">
        <v>32</v>
      </c>
      <c r="F527" s="42" t="str" cm="1">
        <f t="array" ref="F527">_xlfn.IFS(E527="Bandung","BDG",E527="Surabaya","SBY",E527="Jakarta","JKT")</f>
        <v>JKT</v>
      </c>
      <c r="G527" s="27" t="s">
        <v>37</v>
      </c>
      <c r="H527" s="27" t="s">
        <v>63</v>
      </c>
      <c r="I527" s="27" t="s">
        <v>35</v>
      </c>
      <c r="J527" s="26">
        <v>43052</v>
      </c>
      <c r="K527" s="26">
        <v>43052</v>
      </c>
      <c r="L527" s="27">
        <f t="shared" si="50"/>
        <v>2</v>
      </c>
      <c r="M527" s="45">
        <v>73350</v>
      </c>
      <c r="N527" s="45">
        <v>114600</v>
      </c>
      <c r="O527" s="27">
        <v>83</v>
      </c>
      <c r="P527" s="46">
        <f t="shared" si="51"/>
        <v>0.3599476439790576</v>
      </c>
      <c r="Q527" s="27">
        <v>7</v>
      </c>
      <c r="R527" s="44">
        <f t="shared" si="48"/>
        <v>802200</v>
      </c>
      <c r="S527" s="29">
        <v>0.06</v>
      </c>
      <c r="T527" s="44">
        <f t="shared" si="52"/>
        <v>754068</v>
      </c>
      <c r="U527" s="44">
        <f t="shared" si="53"/>
        <v>240618</v>
      </c>
      <c r="V527" s="44"/>
    </row>
    <row r="528" spans="1:22" ht="14.5" x14ac:dyDescent="0.35">
      <c r="A528" s="47" t="str">
        <f t="shared" si="49"/>
        <v>JKT-JS-E1029-2019</v>
      </c>
      <c r="B528" s="26">
        <v>43673</v>
      </c>
      <c r="C528" s="42">
        <v>2019</v>
      </c>
      <c r="D528" s="27" t="s">
        <v>464</v>
      </c>
      <c r="E528" s="27" t="s">
        <v>32</v>
      </c>
      <c r="F528" s="42" t="str" cm="1">
        <f t="array" ref="F528">_xlfn.IFS(E528="Bandung","BDG",E528="Surabaya","SBY",E528="Jakarta","JKT")</f>
        <v>JKT</v>
      </c>
      <c r="G528" s="27" t="s">
        <v>37</v>
      </c>
      <c r="H528" s="27" t="s">
        <v>209</v>
      </c>
      <c r="I528" s="27" t="s">
        <v>46</v>
      </c>
      <c r="J528" s="26" t="s">
        <v>1739</v>
      </c>
      <c r="K528" s="26">
        <v>43675</v>
      </c>
      <c r="L528" s="27">
        <f t="shared" si="50"/>
        <v>2</v>
      </c>
      <c r="M528" s="45">
        <v>4184850</v>
      </c>
      <c r="N528" s="45">
        <v>6749850</v>
      </c>
      <c r="O528" s="27">
        <v>235</v>
      </c>
      <c r="P528" s="46">
        <f t="shared" si="51"/>
        <v>0.38000844463210293</v>
      </c>
      <c r="Q528" s="27">
        <v>43</v>
      </c>
      <c r="R528" s="44">
        <f t="shared" si="48"/>
        <v>290243550</v>
      </c>
      <c r="S528" s="29">
        <v>0.06</v>
      </c>
      <c r="T528" s="44">
        <f t="shared" si="52"/>
        <v>272828937</v>
      </c>
      <c r="U528" s="44">
        <f t="shared" si="53"/>
        <v>92880387</v>
      </c>
      <c r="V528" s="44"/>
    </row>
    <row r="529" spans="1:22" ht="14.5" x14ac:dyDescent="0.35">
      <c r="A529" s="47" t="str">
        <f t="shared" si="49"/>
        <v>SBY-JS-E1036-2018</v>
      </c>
      <c r="B529" s="26">
        <v>43206</v>
      </c>
      <c r="C529" s="42">
        <v>2018</v>
      </c>
      <c r="D529" s="27" t="s">
        <v>528</v>
      </c>
      <c r="E529" s="27" t="s">
        <v>41</v>
      </c>
      <c r="F529" s="42" t="str" cm="1">
        <f t="array" ref="F529">_xlfn.IFS(E529="Bandung","BDG",E529="Surabaya","SBY",E529="Jakarta","JKT")</f>
        <v>SBY</v>
      </c>
      <c r="G529" s="27" t="s">
        <v>78</v>
      </c>
      <c r="H529" s="27" t="s">
        <v>127</v>
      </c>
      <c r="I529" s="27" t="s">
        <v>35</v>
      </c>
      <c r="J529" s="26" t="s">
        <v>1659</v>
      </c>
      <c r="K529" s="26">
        <v>43208</v>
      </c>
      <c r="L529" s="27">
        <f t="shared" si="50"/>
        <v>2</v>
      </c>
      <c r="M529" s="45">
        <v>296700</v>
      </c>
      <c r="N529" s="45">
        <v>689850</v>
      </c>
      <c r="O529" s="27">
        <v>61</v>
      </c>
      <c r="P529" s="46">
        <f t="shared" si="51"/>
        <v>0.56990650141335075</v>
      </c>
      <c r="Q529" s="27">
        <v>50</v>
      </c>
      <c r="R529" s="44">
        <f t="shared" si="48"/>
        <v>34492500</v>
      </c>
      <c r="S529" s="29">
        <v>0</v>
      </c>
      <c r="T529" s="44">
        <f t="shared" si="52"/>
        <v>34492500</v>
      </c>
      <c r="U529" s="44">
        <f t="shared" si="53"/>
        <v>19657500</v>
      </c>
      <c r="V529" s="44"/>
    </row>
    <row r="530" spans="1:22" ht="14.5" x14ac:dyDescent="0.35">
      <c r="A530" s="47" t="str">
        <f t="shared" si="49"/>
        <v>SBY-JS-E1036-2019</v>
      </c>
      <c r="B530" s="26">
        <v>43530</v>
      </c>
      <c r="C530" s="42">
        <v>2019</v>
      </c>
      <c r="D530" s="27" t="s">
        <v>528</v>
      </c>
      <c r="E530" s="27" t="s">
        <v>41</v>
      </c>
      <c r="F530" s="42" t="str" cm="1">
        <f t="array" ref="F530">_xlfn.IFS(E530="Bandung","BDG",E530="Surabaya","SBY",E530="Jakarta","JKT")</f>
        <v>SBY</v>
      </c>
      <c r="G530" s="27" t="s">
        <v>78</v>
      </c>
      <c r="H530" s="27" t="s">
        <v>227</v>
      </c>
      <c r="I530" s="27" t="s">
        <v>39</v>
      </c>
      <c r="J530" s="26">
        <v>43531</v>
      </c>
      <c r="K530" s="26">
        <v>43649</v>
      </c>
      <c r="L530" s="27">
        <f t="shared" si="50"/>
        <v>119</v>
      </c>
      <c r="M530" s="45">
        <v>22950</v>
      </c>
      <c r="N530" s="45">
        <v>41700</v>
      </c>
      <c r="O530" s="27">
        <v>174</v>
      </c>
      <c r="P530" s="46">
        <f t="shared" si="51"/>
        <v>0.44964028776978415</v>
      </c>
      <c r="Q530" s="27">
        <v>21</v>
      </c>
      <c r="R530" s="44">
        <f t="shared" si="48"/>
        <v>875700</v>
      </c>
      <c r="S530" s="29">
        <v>0.06</v>
      </c>
      <c r="T530" s="44">
        <f t="shared" si="52"/>
        <v>823158</v>
      </c>
      <c r="U530" s="44">
        <f t="shared" si="53"/>
        <v>341208</v>
      </c>
      <c r="V530" s="44"/>
    </row>
    <row r="531" spans="1:22" ht="14.5" x14ac:dyDescent="0.35">
      <c r="A531" s="47" t="str">
        <f t="shared" si="49"/>
        <v>SBY-JW-E1034-2018</v>
      </c>
      <c r="B531" s="26">
        <v>43258</v>
      </c>
      <c r="C531" s="42">
        <v>2018</v>
      </c>
      <c r="D531" s="27" t="s">
        <v>547</v>
      </c>
      <c r="E531" s="27" t="s">
        <v>41</v>
      </c>
      <c r="F531" s="42" t="str" cm="1">
        <f t="array" ref="F531">_xlfn.IFS(E531="Bandung","BDG",E531="Surabaya","SBY",E531="Jakarta","JKT")</f>
        <v>SBY</v>
      </c>
      <c r="G531" s="27" t="s">
        <v>65</v>
      </c>
      <c r="H531" s="27" t="s">
        <v>63</v>
      </c>
      <c r="I531" s="27" t="s">
        <v>35</v>
      </c>
      <c r="J531" s="26">
        <v>43261</v>
      </c>
      <c r="K531" s="26">
        <v>43379</v>
      </c>
      <c r="L531" s="27">
        <f t="shared" si="50"/>
        <v>121</v>
      </c>
      <c r="M531" s="45">
        <v>73350</v>
      </c>
      <c r="N531" s="45">
        <v>114600</v>
      </c>
      <c r="O531" s="27">
        <v>76</v>
      </c>
      <c r="P531" s="46">
        <f t="shared" si="51"/>
        <v>0.3599476439790576</v>
      </c>
      <c r="Q531" s="27">
        <v>32</v>
      </c>
      <c r="R531" s="44">
        <f t="shared" si="48"/>
        <v>3667200</v>
      </c>
      <c r="S531" s="29">
        <v>0.06</v>
      </c>
      <c r="T531" s="44">
        <f t="shared" si="52"/>
        <v>3447168</v>
      </c>
      <c r="U531" s="44">
        <f t="shared" si="53"/>
        <v>1099968</v>
      </c>
      <c r="V531" s="44"/>
    </row>
    <row r="532" spans="1:22" ht="14.5" x14ac:dyDescent="0.35">
      <c r="A532" s="47" t="str">
        <f t="shared" si="49"/>
        <v>SBY-JM-E1037-2016</v>
      </c>
      <c r="B532" s="26">
        <v>42620</v>
      </c>
      <c r="C532" s="42">
        <v>2016</v>
      </c>
      <c r="D532" s="27" t="s">
        <v>141</v>
      </c>
      <c r="E532" s="27" t="s">
        <v>41</v>
      </c>
      <c r="F532" s="42" t="str" cm="1">
        <f t="array" ref="F532">_xlfn.IFS(E532="Bandung","BDG",E532="Surabaya","SBY",E532="Jakarta","JKT")</f>
        <v>SBY</v>
      </c>
      <c r="G532" s="27" t="s">
        <v>83</v>
      </c>
      <c r="H532" s="27" t="s">
        <v>142</v>
      </c>
      <c r="I532" s="27" t="s">
        <v>35</v>
      </c>
      <c r="J532" s="26">
        <v>42620</v>
      </c>
      <c r="K532" s="26">
        <v>42560</v>
      </c>
      <c r="L532" s="27">
        <f t="shared" si="50"/>
        <v>-60</v>
      </c>
      <c r="M532" s="45">
        <v>57600</v>
      </c>
      <c r="N532" s="45">
        <v>94500</v>
      </c>
      <c r="O532" s="27">
        <v>117</v>
      </c>
      <c r="P532" s="46">
        <f t="shared" si="51"/>
        <v>0.39047619047619048</v>
      </c>
      <c r="Q532" s="27">
        <v>42</v>
      </c>
      <c r="R532" s="44">
        <f t="shared" si="48"/>
        <v>3969000</v>
      </c>
      <c r="S532" s="29">
        <v>7.0000000000000007E-2</v>
      </c>
      <c r="T532" s="44">
        <f t="shared" si="52"/>
        <v>3691169.9999999995</v>
      </c>
      <c r="U532" s="44">
        <f t="shared" si="53"/>
        <v>1271969.9999999995</v>
      </c>
      <c r="V532" s="44"/>
    </row>
    <row r="533" spans="1:22" ht="14.5" x14ac:dyDescent="0.35">
      <c r="A533" s="47" t="str">
        <f t="shared" si="49"/>
        <v>SBY-JS-E1038-2019</v>
      </c>
      <c r="B533" s="26">
        <v>43508</v>
      </c>
      <c r="C533" s="42">
        <v>2019</v>
      </c>
      <c r="D533" s="27" t="s">
        <v>639</v>
      </c>
      <c r="E533" s="27" t="s">
        <v>41</v>
      </c>
      <c r="F533" s="42" t="str" cm="1">
        <f t="array" ref="F533">_xlfn.IFS(E533="Bandung","BDG",E533="Surabaya","SBY",E533="Jakarta","JKT")</f>
        <v>SBY</v>
      </c>
      <c r="G533" s="27" t="s">
        <v>98</v>
      </c>
      <c r="H533" s="27" t="s">
        <v>144</v>
      </c>
      <c r="I533" s="27" t="s">
        <v>35</v>
      </c>
      <c r="J533" s="26">
        <v>43509</v>
      </c>
      <c r="K533" s="26">
        <v>43509</v>
      </c>
      <c r="L533" s="27">
        <f t="shared" si="50"/>
        <v>1</v>
      </c>
      <c r="M533" s="45">
        <v>2347500</v>
      </c>
      <c r="N533" s="45">
        <v>4514550</v>
      </c>
      <c r="O533" s="27">
        <v>104</v>
      </c>
      <c r="P533" s="46">
        <f t="shared" si="51"/>
        <v>0.48001461939728213</v>
      </c>
      <c r="Q533" s="27">
        <v>23</v>
      </c>
      <c r="R533" s="44">
        <f t="shared" si="48"/>
        <v>103834650</v>
      </c>
      <c r="S533" s="29">
        <v>0.06</v>
      </c>
      <c r="T533" s="44">
        <f t="shared" si="52"/>
        <v>97604571</v>
      </c>
      <c r="U533" s="44">
        <f t="shared" si="53"/>
        <v>43612071</v>
      </c>
      <c r="V533" s="44"/>
    </row>
    <row r="534" spans="1:22" ht="14.5" x14ac:dyDescent="0.35">
      <c r="A534" s="47" t="str">
        <f t="shared" si="49"/>
        <v>JKT-JP-E1029-2017</v>
      </c>
      <c r="B534" s="26">
        <v>42904</v>
      </c>
      <c r="C534" s="42">
        <v>2017</v>
      </c>
      <c r="D534" s="27" t="s">
        <v>384</v>
      </c>
      <c r="E534" s="27" t="s">
        <v>32</v>
      </c>
      <c r="F534" s="42" t="str" cm="1">
        <f t="array" ref="F534">_xlfn.IFS(E534="Bandung","BDG",E534="Surabaya","SBY",E534="Jakarta","JKT")</f>
        <v>JKT</v>
      </c>
      <c r="G534" s="27" t="s">
        <v>37</v>
      </c>
      <c r="H534" s="27" t="s">
        <v>216</v>
      </c>
      <c r="I534" s="27" t="s">
        <v>35</v>
      </c>
      <c r="J534" s="26">
        <v>42905</v>
      </c>
      <c r="K534" s="26">
        <v>42905</v>
      </c>
      <c r="L534" s="27">
        <f t="shared" si="50"/>
        <v>1</v>
      </c>
      <c r="M534" s="45">
        <v>66900</v>
      </c>
      <c r="N534" s="45">
        <v>163350</v>
      </c>
      <c r="O534" s="27">
        <v>132</v>
      </c>
      <c r="P534" s="46">
        <f t="shared" si="51"/>
        <v>0.59044995408631773</v>
      </c>
      <c r="Q534" s="27">
        <v>32</v>
      </c>
      <c r="R534" s="44">
        <f t="shared" si="48"/>
        <v>5227200</v>
      </c>
      <c r="S534" s="29">
        <v>0.1</v>
      </c>
      <c r="T534" s="44">
        <f t="shared" si="52"/>
        <v>4704480</v>
      </c>
      <c r="U534" s="44">
        <f t="shared" si="53"/>
        <v>2563680</v>
      </c>
      <c r="V534" s="44"/>
    </row>
    <row r="535" spans="1:22" ht="14.5" x14ac:dyDescent="0.35">
      <c r="A535" s="47" t="str">
        <f t="shared" si="49"/>
        <v>SBY-JW-E1039-2018</v>
      </c>
      <c r="B535" s="26">
        <v>43253</v>
      </c>
      <c r="C535" s="42">
        <v>2018</v>
      </c>
      <c r="D535" s="27" t="s">
        <v>546</v>
      </c>
      <c r="E535" s="27" t="s">
        <v>41</v>
      </c>
      <c r="F535" s="42" t="str" cm="1">
        <f t="array" ref="F535">_xlfn.IFS(E535="Bandung","BDG",E535="Surabaya","SBY",E535="Jakarta","JKT")</f>
        <v>SBY</v>
      </c>
      <c r="G535" s="27" t="s">
        <v>103</v>
      </c>
      <c r="H535" s="27" t="s">
        <v>225</v>
      </c>
      <c r="I535" s="27" t="s">
        <v>35</v>
      </c>
      <c r="J535" s="26">
        <v>43255</v>
      </c>
      <c r="K535" s="26">
        <v>43196</v>
      </c>
      <c r="L535" s="27">
        <f t="shared" si="50"/>
        <v>-57</v>
      </c>
      <c r="M535" s="45">
        <v>27600</v>
      </c>
      <c r="N535" s="45">
        <v>43200</v>
      </c>
      <c r="O535" s="27">
        <v>84</v>
      </c>
      <c r="P535" s="46">
        <f t="shared" si="51"/>
        <v>0.3611111111111111</v>
      </c>
      <c r="Q535" s="27">
        <v>22</v>
      </c>
      <c r="R535" s="44">
        <f t="shared" si="48"/>
        <v>950400</v>
      </c>
      <c r="S535" s="29">
        <v>0.1</v>
      </c>
      <c r="T535" s="44">
        <f t="shared" si="52"/>
        <v>855360</v>
      </c>
      <c r="U535" s="44">
        <f t="shared" si="53"/>
        <v>248160</v>
      </c>
      <c r="V535" s="44"/>
    </row>
    <row r="536" spans="1:22" ht="14.5" x14ac:dyDescent="0.35">
      <c r="A536" s="47" t="str">
        <f t="shared" si="49"/>
        <v>SBY-JW-E1039-2020</v>
      </c>
      <c r="B536" s="26">
        <v>43902</v>
      </c>
      <c r="C536" s="42">
        <v>2020</v>
      </c>
      <c r="D536" s="27" t="s">
        <v>546</v>
      </c>
      <c r="E536" s="27" t="s">
        <v>41</v>
      </c>
      <c r="F536" s="42" t="str" cm="1">
        <f t="array" ref="F536">_xlfn.IFS(E536="Bandung","BDG",E536="Surabaya","SBY",E536="Jakarta","JKT")</f>
        <v>SBY</v>
      </c>
      <c r="G536" s="27" t="s">
        <v>103</v>
      </c>
      <c r="H536" s="27" t="s">
        <v>364</v>
      </c>
      <c r="I536" s="27" t="s">
        <v>39</v>
      </c>
      <c r="J536" s="26">
        <v>43905</v>
      </c>
      <c r="K536" s="26">
        <v>43905</v>
      </c>
      <c r="L536" s="27">
        <f t="shared" si="50"/>
        <v>3</v>
      </c>
      <c r="M536" s="45">
        <v>38850</v>
      </c>
      <c r="N536" s="45">
        <v>59700</v>
      </c>
      <c r="O536" s="27">
        <v>74</v>
      </c>
      <c r="P536" s="46">
        <f t="shared" si="51"/>
        <v>0.34924623115577891</v>
      </c>
      <c r="Q536" s="27">
        <v>11</v>
      </c>
      <c r="R536" s="44">
        <f t="shared" si="48"/>
        <v>656700</v>
      </c>
      <c r="S536" s="29">
        <v>7.0000000000000007E-2</v>
      </c>
      <c r="T536" s="44">
        <f t="shared" si="52"/>
        <v>610731</v>
      </c>
      <c r="U536" s="44">
        <f t="shared" si="53"/>
        <v>183381</v>
      </c>
      <c r="V536" s="44"/>
    </row>
    <row r="537" spans="1:22" ht="14.5" x14ac:dyDescent="0.35">
      <c r="A537" s="47" t="str">
        <f t="shared" si="49"/>
        <v>SBY-JS-E1040-2018</v>
      </c>
      <c r="B537" s="26">
        <v>43312</v>
      </c>
      <c r="C537" s="42">
        <v>2018</v>
      </c>
      <c r="D537" s="27" t="s">
        <v>572</v>
      </c>
      <c r="E537" s="27" t="s">
        <v>41</v>
      </c>
      <c r="F537" s="42" t="str" cm="1">
        <f t="array" ref="F537">_xlfn.IFS(E537="Bandung","BDG",E537="Surabaya","SBY",E537="Jakarta","JKT")</f>
        <v>SBY</v>
      </c>
      <c r="G537" s="27" t="s">
        <v>160</v>
      </c>
      <c r="H537" s="27" t="s">
        <v>239</v>
      </c>
      <c r="I537" s="27" t="s">
        <v>35</v>
      </c>
      <c r="J537" s="26">
        <v>43312</v>
      </c>
      <c r="K537" s="26">
        <v>43312</v>
      </c>
      <c r="L537" s="27">
        <f t="shared" si="50"/>
        <v>0</v>
      </c>
      <c r="M537" s="45">
        <v>52500</v>
      </c>
      <c r="N537" s="45">
        <v>86100</v>
      </c>
      <c r="O537" s="27">
        <v>132</v>
      </c>
      <c r="P537" s="46">
        <f t="shared" si="51"/>
        <v>0.3902439024390244</v>
      </c>
      <c r="Q537" s="27">
        <v>23</v>
      </c>
      <c r="R537" s="44">
        <f t="shared" si="48"/>
        <v>1980300</v>
      </c>
      <c r="S537" s="29">
        <v>0.06</v>
      </c>
      <c r="T537" s="44">
        <f t="shared" si="52"/>
        <v>1861482</v>
      </c>
      <c r="U537" s="44">
        <f t="shared" si="53"/>
        <v>653982</v>
      </c>
      <c r="V537" s="44"/>
    </row>
    <row r="538" spans="1:22" ht="14.5" x14ac:dyDescent="0.35">
      <c r="A538" s="47" t="str">
        <f t="shared" si="49"/>
        <v>SBY-JP-E1037-2018</v>
      </c>
      <c r="B538" s="26">
        <v>43387</v>
      </c>
      <c r="C538" s="42">
        <v>2018</v>
      </c>
      <c r="D538" s="27" t="s">
        <v>602</v>
      </c>
      <c r="E538" s="27" t="s">
        <v>41</v>
      </c>
      <c r="F538" s="42" t="str" cm="1">
        <f t="array" ref="F538">_xlfn.IFS(E538="Bandung","BDG",E538="Surabaya","SBY",E538="Jakarta","JKT")</f>
        <v>SBY</v>
      </c>
      <c r="G538" s="27" t="s">
        <v>83</v>
      </c>
      <c r="H538" s="27" t="s">
        <v>182</v>
      </c>
      <c r="I538" s="27" t="s">
        <v>39</v>
      </c>
      <c r="J538" s="26">
        <v>43389</v>
      </c>
      <c r="K538" s="26">
        <v>43389</v>
      </c>
      <c r="L538" s="27">
        <f t="shared" si="50"/>
        <v>2</v>
      </c>
      <c r="M538" s="45">
        <v>166650</v>
      </c>
      <c r="N538" s="45">
        <v>297600</v>
      </c>
      <c r="O538" s="27">
        <v>161</v>
      </c>
      <c r="P538" s="46">
        <f t="shared" si="51"/>
        <v>0.44002016129032256</v>
      </c>
      <c r="Q538" s="27">
        <v>1</v>
      </c>
      <c r="R538" s="44">
        <f t="shared" si="48"/>
        <v>297600</v>
      </c>
      <c r="S538" s="29">
        <v>0.05</v>
      </c>
      <c r="T538" s="44">
        <f t="shared" si="52"/>
        <v>282720</v>
      </c>
      <c r="U538" s="44">
        <f t="shared" si="53"/>
        <v>116070</v>
      </c>
      <c r="V538" s="44"/>
    </row>
    <row r="539" spans="1:22" ht="14.5" x14ac:dyDescent="0.35">
      <c r="A539" s="47" t="str">
        <f t="shared" si="49"/>
        <v>SBY-JM-E1036-2018</v>
      </c>
      <c r="B539" s="26">
        <v>43408</v>
      </c>
      <c r="C539" s="42">
        <v>2018</v>
      </c>
      <c r="D539" s="27" t="s">
        <v>607</v>
      </c>
      <c r="E539" s="27" t="s">
        <v>41</v>
      </c>
      <c r="F539" s="42" t="str" cm="1">
        <f t="array" ref="F539">_xlfn.IFS(E539="Bandung","BDG",E539="Surabaya","SBY",E539="Jakarta","JKT")</f>
        <v>SBY</v>
      </c>
      <c r="G539" s="27" t="s">
        <v>78</v>
      </c>
      <c r="H539" s="27" t="s">
        <v>101</v>
      </c>
      <c r="I539" s="27" t="s">
        <v>35</v>
      </c>
      <c r="J539" s="26">
        <v>43415</v>
      </c>
      <c r="K539" s="26">
        <v>43415</v>
      </c>
      <c r="L539" s="27">
        <f t="shared" si="50"/>
        <v>7</v>
      </c>
      <c r="M539" s="45">
        <v>480300.00000000006</v>
      </c>
      <c r="N539" s="45">
        <v>2287200</v>
      </c>
      <c r="O539" s="27">
        <v>267</v>
      </c>
      <c r="P539" s="46">
        <f t="shared" si="51"/>
        <v>0.79000524658971671</v>
      </c>
      <c r="Q539" s="27">
        <v>14</v>
      </c>
      <c r="R539" s="44">
        <f t="shared" si="48"/>
        <v>32020800</v>
      </c>
      <c r="S539" s="29">
        <v>0.03</v>
      </c>
      <c r="T539" s="44">
        <f t="shared" si="52"/>
        <v>31060176</v>
      </c>
      <c r="U539" s="44">
        <f t="shared" si="53"/>
        <v>24335976</v>
      </c>
      <c r="V539" s="44"/>
    </row>
    <row r="540" spans="1:22" ht="14.5" x14ac:dyDescent="0.35">
      <c r="A540" s="47" t="str">
        <f t="shared" si="49"/>
        <v>SBY-JM-E1036-2019</v>
      </c>
      <c r="B540" s="26">
        <v>43641</v>
      </c>
      <c r="C540" s="42">
        <v>2019</v>
      </c>
      <c r="D540" s="27" t="s">
        <v>607</v>
      </c>
      <c r="E540" s="27" t="s">
        <v>41</v>
      </c>
      <c r="F540" s="42" t="str" cm="1">
        <f t="array" ref="F540">_xlfn.IFS(E540="Bandung","BDG",E540="Surabaya","SBY",E540="Jakarta","JKT")</f>
        <v>SBY</v>
      </c>
      <c r="G540" s="27" t="s">
        <v>78</v>
      </c>
      <c r="H540" s="27" t="s">
        <v>507</v>
      </c>
      <c r="I540" s="27" t="s">
        <v>39</v>
      </c>
      <c r="J540" s="26">
        <v>43641</v>
      </c>
      <c r="K540" s="26">
        <v>43641</v>
      </c>
      <c r="L540" s="27">
        <f t="shared" si="50"/>
        <v>0</v>
      </c>
      <c r="M540" s="45">
        <v>14100</v>
      </c>
      <c r="N540" s="45">
        <v>28200</v>
      </c>
      <c r="O540" s="27">
        <v>94</v>
      </c>
      <c r="P540" s="46">
        <f t="shared" si="51"/>
        <v>0.5</v>
      </c>
      <c r="Q540" s="27">
        <v>36</v>
      </c>
      <c r="R540" s="44">
        <f t="shared" si="48"/>
        <v>1015200</v>
      </c>
      <c r="S540" s="29">
        <v>0.04</v>
      </c>
      <c r="T540" s="44">
        <f t="shared" si="52"/>
        <v>974592</v>
      </c>
      <c r="U540" s="44">
        <f t="shared" si="53"/>
        <v>466992</v>
      </c>
      <c r="V540" s="44"/>
    </row>
    <row r="541" spans="1:22" ht="14.5" x14ac:dyDescent="0.35">
      <c r="A541" s="47" t="str">
        <f t="shared" si="49"/>
        <v>JKT-JL-E1029-2018</v>
      </c>
      <c r="B541" s="26">
        <v>43205</v>
      </c>
      <c r="C541" s="42">
        <v>2018</v>
      </c>
      <c r="D541" s="27" t="s">
        <v>526</v>
      </c>
      <c r="E541" s="27" t="s">
        <v>32</v>
      </c>
      <c r="F541" s="42" t="str" cm="1">
        <f t="array" ref="F541">_xlfn.IFS(E541="Bandung","BDG",E541="Surabaya","SBY",E541="Jakarta","JKT")</f>
        <v>JKT</v>
      </c>
      <c r="G541" s="27" t="s">
        <v>37</v>
      </c>
      <c r="H541" s="27" t="s">
        <v>527</v>
      </c>
      <c r="I541" s="27" t="s">
        <v>73</v>
      </c>
      <c r="J541" s="26">
        <v>43207</v>
      </c>
      <c r="K541" s="26">
        <v>43207</v>
      </c>
      <c r="L541" s="27">
        <f t="shared" si="50"/>
        <v>2</v>
      </c>
      <c r="M541" s="45">
        <v>43050</v>
      </c>
      <c r="N541" s="45">
        <v>102600</v>
      </c>
      <c r="O541" s="27">
        <v>96</v>
      </c>
      <c r="P541" s="46">
        <f t="shared" si="51"/>
        <v>0.58040935672514615</v>
      </c>
      <c r="Q541" s="27">
        <v>35</v>
      </c>
      <c r="R541" s="44">
        <f t="shared" si="48"/>
        <v>3591000</v>
      </c>
      <c r="S541" s="29">
        <v>0.01</v>
      </c>
      <c r="T541" s="44">
        <f t="shared" si="52"/>
        <v>3555090</v>
      </c>
      <c r="U541" s="44">
        <f t="shared" si="53"/>
        <v>2048340</v>
      </c>
      <c r="V541" s="44"/>
    </row>
    <row r="542" spans="1:22" ht="14.5" x14ac:dyDescent="0.35">
      <c r="A542" s="47" t="str">
        <f t="shared" si="49"/>
        <v>JKT-JL-E1029-2018</v>
      </c>
      <c r="B542" s="26">
        <v>43412</v>
      </c>
      <c r="C542" s="42">
        <v>2018</v>
      </c>
      <c r="D542" s="27" t="s">
        <v>526</v>
      </c>
      <c r="E542" s="27" t="s">
        <v>32</v>
      </c>
      <c r="F542" s="42" t="str" cm="1">
        <f t="array" ref="F542">_xlfn.IFS(E542="Bandung","BDG",E542="Surabaya","SBY",E542="Jakarta","JKT")</f>
        <v>JKT</v>
      </c>
      <c r="G542" s="27" t="s">
        <v>37</v>
      </c>
      <c r="H542" s="27" t="s">
        <v>182</v>
      </c>
      <c r="I542" s="27" t="s">
        <v>39</v>
      </c>
      <c r="J542" s="26">
        <v>43417</v>
      </c>
      <c r="K542" s="26">
        <v>43417</v>
      </c>
      <c r="L542" s="27">
        <f t="shared" si="50"/>
        <v>5</v>
      </c>
      <c r="M542" s="45">
        <v>166650</v>
      </c>
      <c r="N542" s="45">
        <v>297600</v>
      </c>
      <c r="O542" s="27">
        <v>160</v>
      </c>
      <c r="P542" s="46">
        <f t="shared" si="51"/>
        <v>0.44002016129032256</v>
      </c>
      <c r="Q542" s="27">
        <v>28</v>
      </c>
      <c r="R542" s="44">
        <f t="shared" si="48"/>
        <v>8332800</v>
      </c>
      <c r="S542" s="29">
        <v>0.08</v>
      </c>
      <c r="T542" s="44">
        <f t="shared" si="52"/>
        <v>7666176</v>
      </c>
      <c r="U542" s="44">
        <f t="shared" si="53"/>
        <v>2999976</v>
      </c>
      <c r="V542" s="44"/>
    </row>
    <row r="543" spans="1:22" ht="14.5" x14ac:dyDescent="0.35">
      <c r="A543" s="47" t="str">
        <f t="shared" si="49"/>
        <v>JKT-JL-E1029-2018</v>
      </c>
      <c r="B543" s="26">
        <v>43412</v>
      </c>
      <c r="C543" s="42">
        <v>2018</v>
      </c>
      <c r="D543" s="27" t="s">
        <v>526</v>
      </c>
      <c r="E543" s="27" t="s">
        <v>32</v>
      </c>
      <c r="F543" s="42" t="str" cm="1">
        <f t="array" ref="F543">_xlfn.IFS(E543="Bandung","BDG",E543="Surabaya","SBY",E543="Jakarta","JKT")</f>
        <v>JKT</v>
      </c>
      <c r="G543" s="27" t="s">
        <v>37</v>
      </c>
      <c r="H543" s="27" t="s">
        <v>241</v>
      </c>
      <c r="I543" s="27" t="s">
        <v>39</v>
      </c>
      <c r="J543" s="26">
        <v>43445</v>
      </c>
      <c r="K543" s="26">
        <v>43416</v>
      </c>
      <c r="L543" s="27">
        <f t="shared" si="50"/>
        <v>4</v>
      </c>
      <c r="M543" s="45">
        <v>13950</v>
      </c>
      <c r="N543" s="45">
        <v>22200</v>
      </c>
      <c r="O543" s="27">
        <v>143</v>
      </c>
      <c r="P543" s="46">
        <f t="shared" si="51"/>
        <v>0.3716216216216216</v>
      </c>
      <c r="Q543" s="27">
        <v>37</v>
      </c>
      <c r="R543" s="44">
        <f t="shared" si="48"/>
        <v>821400</v>
      </c>
      <c r="S543" s="29">
        <v>0.04</v>
      </c>
      <c r="T543" s="44">
        <f t="shared" si="52"/>
        <v>788544</v>
      </c>
      <c r="U543" s="44">
        <f t="shared" si="53"/>
        <v>272394</v>
      </c>
      <c r="V543" s="44"/>
    </row>
    <row r="544" spans="1:22" ht="14.5" x14ac:dyDescent="0.35">
      <c r="A544" s="47" t="str">
        <f t="shared" si="49"/>
        <v>JKT-JL-E1029-2019</v>
      </c>
      <c r="B544" s="26">
        <v>43476</v>
      </c>
      <c r="C544" s="42">
        <v>2019</v>
      </c>
      <c r="D544" s="27" t="s">
        <v>526</v>
      </c>
      <c r="E544" s="27" t="s">
        <v>32</v>
      </c>
      <c r="F544" s="42" t="str" cm="1">
        <f t="array" ref="F544">_xlfn.IFS(E544="Bandung","BDG",E544="Surabaya","SBY",E544="Jakarta","JKT")</f>
        <v>JKT</v>
      </c>
      <c r="G544" s="27" t="s">
        <v>37</v>
      </c>
      <c r="H544" s="27" t="s">
        <v>239</v>
      </c>
      <c r="I544" s="27" t="s">
        <v>35</v>
      </c>
      <c r="J544" s="26">
        <v>43800</v>
      </c>
      <c r="K544" s="26">
        <v>43477</v>
      </c>
      <c r="L544" s="27">
        <f t="shared" si="50"/>
        <v>1</v>
      </c>
      <c r="M544" s="45">
        <v>52500</v>
      </c>
      <c r="N544" s="45">
        <v>86100</v>
      </c>
      <c r="O544" s="27">
        <v>109</v>
      </c>
      <c r="P544" s="46">
        <f t="shared" si="51"/>
        <v>0.3902439024390244</v>
      </c>
      <c r="Q544" s="27">
        <v>26</v>
      </c>
      <c r="R544" s="44">
        <f t="shared" si="48"/>
        <v>2238600</v>
      </c>
      <c r="S544" s="29">
        <v>0.03</v>
      </c>
      <c r="T544" s="44">
        <f t="shared" si="52"/>
        <v>2171442</v>
      </c>
      <c r="U544" s="44">
        <f t="shared" si="53"/>
        <v>806442</v>
      </c>
      <c r="V544" s="44"/>
    </row>
    <row r="545" spans="1:22" ht="14.5" x14ac:dyDescent="0.35">
      <c r="A545" s="47" t="str">
        <f t="shared" si="49"/>
        <v>JKT-JL-E1029-2019</v>
      </c>
      <c r="B545" s="26">
        <v>43520</v>
      </c>
      <c r="C545" s="42">
        <v>2019</v>
      </c>
      <c r="D545" s="27" t="s">
        <v>526</v>
      </c>
      <c r="E545" s="27" t="s">
        <v>32</v>
      </c>
      <c r="F545" s="42" t="str" cm="1">
        <f t="array" ref="F545">_xlfn.IFS(E545="Bandung","BDG",E545="Surabaya","SBY",E545="Jakarta","JKT")</f>
        <v>JKT</v>
      </c>
      <c r="G545" s="27" t="s">
        <v>37</v>
      </c>
      <c r="H545" s="27" t="s">
        <v>376</v>
      </c>
      <c r="I545" s="27" t="s">
        <v>73</v>
      </c>
      <c r="J545" s="26">
        <v>43522</v>
      </c>
      <c r="K545" s="26">
        <v>43522</v>
      </c>
      <c r="L545" s="27">
        <f t="shared" si="50"/>
        <v>2</v>
      </c>
      <c r="M545" s="45">
        <v>62850.000000000007</v>
      </c>
      <c r="N545" s="45">
        <v>153450</v>
      </c>
      <c r="O545" s="27">
        <v>152</v>
      </c>
      <c r="P545" s="46">
        <f t="shared" si="51"/>
        <v>0.59042033235581626</v>
      </c>
      <c r="Q545" s="27">
        <v>46</v>
      </c>
      <c r="R545" s="44">
        <f t="shared" si="48"/>
        <v>7058700</v>
      </c>
      <c r="S545" s="29">
        <v>0.08</v>
      </c>
      <c r="T545" s="44">
        <f t="shared" si="52"/>
        <v>6494004</v>
      </c>
      <c r="U545" s="44">
        <f t="shared" si="53"/>
        <v>3602903.9999999995</v>
      </c>
      <c r="V545" s="44"/>
    </row>
    <row r="546" spans="1:22" ht="14.5" x14ac:dyDescent="0.35">
      <c r="A546" s="47" t="str">
        <f t="shared" si="49"/>
        <v>SBY-JZ-E1032-2017</v>
      </c>
      <c r="B546" s="26">
        <v>42900</v>
      </c>
      <c r="C546" s="42">
        <v>2017</v>
      </c>
      <c r="D546" s="27" t="s">
        <v>383</v>
      </c>
      <c r="E546" s="27" t="s">
        <v>41</v>
      </c>
      <c r="F546" s="42" t="str" cm="1">
        <f t="array" ref="F546">_xlfn.IFS(E546="Bandung","BDG",E546="Surabaya","SBY",E546="Jakarta","JKT")</f>
        <v>SBY</v>
      </c>
      <c r="G546" s="27" t="s">
        <v>53</v>
      </c>
      <c r="H546" s="27" t="s">
        <v>234</v>
      </c>
      <c r="I546" s="27" t="s">
        <v>35</v>
      </c>
      <c r="J546" s="26">
        <v>42901</v>
      </c>
      <c r="K546" s="26">
        <v>42901</v>
      </c>
      <c r="L546" s="27">
        <f t="shared" si="50"/>
        <v>1</v>
      </c>
      <c r="M546" s="45">
        <v>275700</v>
      </c>
      <c r="N546" s="45">
        <v>437550</v>
      </c>
      <c r="O546" s="27">
        <v>1</v>
      </c>
      <c r="P546" s="46">
        <f t="shared" si="51"/>
        <v>0.36990058279053822</v>
      </c>
      <c r="Q546" s="27">
        <v>1</v>
      </c>
      <c r="R546" s="44">
        <f t="shared" si="48"/>
        <v>437550</v>
      </c>
      <c r="S546" s="29">
        <v>0.02</v>
      </c>
      <c r="T546" s="44">
        <f t="shared" si="52"/>
        <v>428799</v>
      </c>
      <c r="U546" s="44">
        <f t="shared" si="53"/>
        <v>153099</v>
      </c>
      <c r="V546" s="44"/>
    </row>
    <row r="547" spans="1:22" ht="14.5" x14ac:dyDescent="0.35">
      <c r="A547" s="47" t="str">
        <f t="shared" si="49"/>
        <v>SBY-JZ-E1032-2019</v>
      </c>
      <c r="B547" s="26">
        <v>43735</v>
      </c>
      <c r="C547" s="42">
        <v>2019</v>
      </c>
      <c r="D547" s="27" t="s">
        <v>383</v>
      </c>
      <c r="E547" s="27" t="s">
        <v>41</v>
      </c>
      <c r="F547" s="42" t="str" cm="1">
        <f t="array" ref="F547">_xlfn.IFS(E547="Bandung","BDG",E547="Surabaya","SBY",E547="Jakarta","JKT")</f>
        <v>SBY</v>
      </c>
      <c r="G547" s="27" t="s">
        <v>53</v>
      </c>
      <c r="H547" s="27" t="s">
        <v>101</v>
      </c>
      <c r="I547" s="27" t="s">
        <v>35</v>
      </c>
      <c r="J547" s="26">
        <v>43737</v>
      </c>
      <c r="K547" s="26">
        <v>43737</v>
      </c>
      <c r="L547" s="27">
        <f t="shared" si="50"/>
        <v>2</v>
      </c>
      <c r="M547" s="45">
        <v>480300.00000000006</v>
      </c>
      <c r="N547" s="45">
        <v>2287200</v>
      </c>
      <c r="O547" s="27">
        <v>253</v>
      </c>
      <c r="P547" s="46">
        <f t="shared" si="51"/>
        <v>0.79000524658971671</v>
      </c>
      <c r="Q547" s="27">
        <v>37</v>
      </c>
      <c r="R547" s="44">
        <f t="shared" si="48"/>
        <v>84626400</v>
      </c>
      <c r="S547" s="29">
        <v>0.1</v>
      </c>
      <c r="T547" s="44">
        <f t="shared" si="52"/>
        <v>76163760</v>
      </c>
      <c r="U547" s="44">
        <f t="shared" si="53"/>
        <v>58392660</v>
      </c>
      <c r="V547" s="44"/>
    </row>
    <row r="548" spans="1:22" ht="14.5" x14ac:dyDescent="0.35">
      <c r="A548" s="47" t="str">
        <f t="shared" si="49"/>
        <v>SBY-JZ-E1032-2019</v>
      </c>
      <c r="B548" s="26">
        <v>43735</v>
      </c>
      <c r="C548" s="42">
        <v>2019</v>
      </c>
      <c r="D548" s="27" t="s">
        <v>383</v>
      </c>
      <c r="E548" s="27" t="s">
        <v>41</v>
      </c>
      <c r="F548" s="42" t="str" cm="1">
        <f t="array" ref="F548">_xlfn.IFS(E548="Bandung","BDG",E548="Surabaya","SBY",E548="Jakarta","JKT")</f>
        <v>SBY</v>
      </c>
      <c r="G548" s="27" t="s">
        <v>53</v>
      </c>
      <c r="H548" s="27" t="s">
        <v>158</v>
      </c>
      <c r="I548" s="27" t="s">
        <v>73</v>
      </c>
      <c r="J548" s="26" t="s">
        <v>1750</v>
      </c>
      <c r="K548" s="26">
        <v>43737</v>
      </c>
      <c r="L548" s="27">
        <f t="shared" si="50"/>
        <v>2</v>
      </c>
      <c r="M548" s="45">
        <v>302700</v>
      </c>
      <c r="N548" s="45">
        <v>531150</v>
      </c>
      <c r="O548" s="27">
        <v>69</v>
      </c>
      <c r="P548" s="46">
        <f t="shared" si="51"/>
        <v>0.43010449025698955</v>
      </c>
      <c r="Q548" s="27">
        <v>30</v>
      </c>
      <c r="R548" s="44">
        <f t="shared" si="48"/>
        <v>15934500</v>
      </c>
      <c r="S548" s="29">
        <v>0.08</v>
      </c>
      <c r="T548" s="44">
        <f t="shared" si="52"/>
        <v>14659740</v>
      </c>
      <c r="U548" s="44">
        <f t="shared" si="53"/>
        <v>5578740</v>
      </c>
      <c r="V548" s="44"/>
    </row>
    <row r="549" spans="1:22" ht="14.5" x14ac:dyDescent="0.35">
      <c r="A549" s="47" t="str">
        <f t="shared" si="49"/>
        <v>SBY-JZ-E1032-2020</v>
      </c>
      <c r="B549" s="26">
        <v>43863</v>
      </c>
      <c r="C549" s="42">
        <v>2020</v>
      </c>
      <c r="D549" s="27" t="s">
        <v>383</v>
      </c>
      <c r="E549" s="27" t="s">
        <v>41</v>
      </c>
      <c r="F549" s="42" t="str" cm="1">
        <f t="array" ref="F549">_xlfn.IFS(E549="Bandung","BDG",E549="Surabaya","SBY",E549="Jakarta","JKT")</f>
        <v>SBY</v>
      </c>
      <c r="G549" s="27" t="s">
        <v>53</v>
      </c>
      <c r="H549" s="27" t="s">
        <v>229</v>
      </c>
      <c r="I549" s="27" t="s">
        <v>35</v>
      </c>
      <c r="J549" s="26">
        <v>43863</v>
      </c>
      <c r="K549" s="26">
        <v>43863</v>
      </c>
      <c r="L549" s="27">
        <f t="shared" si="50"/>
        <v>0</v>
      </c>
      <c r="M549" s="45">
        <v>33900</v>
      </c>
      <c r="N549" s="45">
        <v>53700</v>
      </c>
      <c r="O549" s="27">
        <v>149</v>
      </c>
      <c r="P549" s="46">
        <f t="shared" si="51"/>
        <v>0.36871508379888268</v>
      </c>
      <c r="Q549" s="27">
        <v>34</v>
      </c>
      <c r="R549" s="44">
        <f t="shared" si="48"/>
        <v>1825800</v>
      </c>
      <c r="S549" s="29">
        <v>7.0000000000000007E-2</v>
      </c>
      <c r="T549" s="44">
        <f t="shared" si="52"/>
        <v>1697994</v>
      </c>
      <c r="U549" s="44">
        <f t="shared" si="53"/>
        <v>545394</v>
      </c>
      <c r="V549" s="44"/>
    </row>
    <row r="550" spans="1:22" ht="14.5" x14ac:dyDescent="0.35">
      <c r="A550" s="47" t="str">
        <f t="shared" si="49"/>
        <v>JKT-JN-E1028-2017</v>
      </c>
      <c r="B550" s="26">
        <v>42877</v>
      </c>
      <c r="C550" s="42">
        <v>2017</v>
      </c>
      <c r="D550" s="27" t="s">
        <v>362</v>
      </c>
      <c r="E550" s="27" t="s">
        <v>32</v>
      </c>
      <c r="F550" s="42" t="str" cm="1">
        <f t="array" ref="F550">_xlfn.IFS(E550="Bandung","BDG",E550="Surabaya","SBY",E550="Jakarta","JKT")</f>
        <v>JKT</v>
      </c>
      <c r="G550" s="27" t="s">
        <v>33</v>
      </c>
      <c r="H550" s="27" t="s">
        <v>363</v>
      </c>
      <c r="I550" s="27" t="s">
        <v>236</v>
      </c>
      <c r="J550" s="26">
        <v>42886</v>
      </c>
      <c r="K550" s="26">
        <v>42886</v>
      </c>
      <c r="L550" s="27">
        <f t="shared" si="50"/>
        <v>9</v>
      </c>
      <c r="M550" s="45">
        <v>5669850</v>
      </c>
      <c r="N550" s="45">
        <v>8999850</v>
      </c>
      <c r="O550" s="27">
        <v>193</v>
      </c>
      <c r="P550" s="46">
        <f t="shared" si="51"/>
        <v>0.37000616676944614</v>
      </c>
      <c r="Q550" s="27">
        <v>48</v>
      </c>
      <c r="R550" s="44">
        <f t="shared" si="48"/>
        <v>431992800</v>
      </c>
      <c r="S550" s="29">
        <v>0.08</v>
      </c>
      <c r="T550" s="44">
        <f t="shared" si="52"/>
        <v>397433376</v>
      </c>
      <c r="U550" s="44">
        <f t="shared" si="53"/>
        <v>125280576</v>
      </c>
      <c r="V550" s="44"/>
    </row>
    <row r="551" spans="1:22" ht="14.5" x14ac:dyDescent="0.35">
      <c r="A551" s="47" t="str">
        <f t="shared" si="49"/>
        <v>JKT-JN-E1028-2017</v>
      </c>
      <c r="B551" s="26">
        <v>42877</v>
      </c>
      <c r="C551" s="42">
        <v>2017</v>
      </c>
      <c r="D551" s="27" t="s">
        <v>362</v>
      </c>
      <c r="E551" s="27" t="s">
        <v>32</v>
      </c>
      <c r="F551" s="42" t="str" cm="1">
        <f t="array" ref="F551">_xlfn.IFS(E551="Bandung","BDG",E551="Surabaya","SBY",E551="Jakarta","JKT")</f>
        <v>JKT</v>
      </c>
      <c r="G551" s="27" t="s">
        <v>33</v>
      </c>
      <c r="H551" s="27" t="s">
        <v>364</v>
      </c>
      <c r="I551" s="27" t="s">
        <v>39</v>
      </c>
      <c r="J551" s="26" t="s">
        <v>1610</v>
      </c>
      <c r="K551" s="26">
        <v>42882</v>
      </c>
      <c r="L551" s="27">
        <f t="shared" si="50"/>
        <v>5</v>
      </c>
      <c r="M551" s="45">
        <v>38850</v>
      </c>
      <c r="N551" s="45">
        <v>59700</v>
      </c>
      <c r="O551" s="27">
        <v>63</v>
      </c>
      <c r="P551" s="46">
        <f t="shared" si="51"/>
        <v>0.34924623115577891</v>
      </c>
      <c r="Q551" s="27">
        <v>11</v>
      </c>
      <c r="R551" s="44">
        <f t="shared" si="48"/>
        <v>656700</v>
      </c>
      <c r="S551" s="29">
        <v>0.1</v>
      </c>
      <c r="T551" s="44">
        <f t="shared" si="52"/>
        <v>591030</v>
      </c>
      <c r="U551" s="44">
        <f t="shared" si="53"/>
        <v>163680</v>
      </c>
      <c r="V551" s="44"/>
    </row>
    <row r="552" spans="1:22" ht="14.5" x14ac:dyDescent="0.35">
      <c r="A552" s="47" t="str">
        <f t="shared" si="49"/>
        <v>JKT-JN-E1028-2020</v>
      </c>
      <c r="B552" s="26">
        <v>43871</v>
      </c>
      <c r="C552" s="42">
        <v>2020</v>
      </c>
      <c r="D552" s="27" t="s">
        <v>362</v>
      </c>
      <c r="E552" s="27" t="s">
        <v>32</v>
      </c>
      <c r="F552" s="42" t="str" cm="1">
        <f t="array" ref="F552">_xlfn.IFS(E552="Bandung","BDG",E552="Surabaya","SBY",E552="Jakarta","JKT")</f>
        <v>JKT</v>
      </c>
      <c r="G552" s="27" t="s">
        <v>33</v>
      </c>
      <c r="H552" s="27" t="s">
        <v>191</v>
      </c>
      <c r="I552" s="27" t="s">
        <v>35</v>
      </c>
      <c r="J552" s="26">
        <v>44167</v>
      </c>
      <c r="K552" s="26">
        <v>43873</v>
      </c>
      <c r="L552" s="27">
        <f t="shared" si="50"/>
        <v>2</v>
      </c>
      <c r="M552" s="45">
        <v>29700</v>
      </c>
      <c r="N552" s="45">
        <v>47250</v>
      </c>
      <c r="O552" s="27">
        <v>110</v>
      </c>
      <c r="P552" s="46">
        <f t="shared" si="51"/>
        <v>0.37142857142857144</v>
      </c>
      <c r="Q552" s="27">
        <v>24</v>
      </c>
      <c r="R552" s="44">
        <f t="shared" si="48"/>
        <v>1134000</v>
      </c>
      <c r="S552" s="29">
        <v>0.02</v>
      </c>
      <c r="T552" s="44">
        <f t="shared" si="52"/>
        <v>1111320</v>
      </c>
      <c r="U552" s="44">
        <f t="shared" si="53"/>
        <v>398520</v>
      </c>
      <c r="V552" s="44"/>
    </row>
    <row r="553" spans="1:22" ht="14.5" x14ac:dyDescent="0.35">
      <c r="A553" s="47" t="str">
        <f t="shared" si="49"/>
        <v>SBY-JR-E1032-2018</v>
      </c>
      <c r="B553" s="26">
        <v>43123</v>
      </c>
      <c r="C553" s="42">
        <v>2018</v>
      </c>
      <c r="D553" s="27" t="s">
        <v>491</v>
      </c>
      <c r="E553" s="27" t="s">
        <v>41</v>
      </c>
      <c r="F553" s="42" t="str" cm="1">
        <f t="array" ref="F553">_xlfn.IFS(E553="Bandung","BDG",E553="Surabaya","SBY",E553="Jakarta","JKT")</f>
        <v>SBY</v>
      </c>
      <c r="G553" s="27" t="s">
        <v>53</v>
      </c>
      <c r="H553" s="27" t="s">
        <v>182</v>
      </c>
      <c r="I553" s="27" t="s">
        <v>39</v>
      </c>
      <c r="J553" s="26" t="s">
        <v>1652</v>
      </c>
      <c r="K553" s="26">
        <v>43123</v>
      </c>
      <c r="L553" s="27">
        <f t="shared" si="50"/>
        <v>0</v>
      </c>
      <c r="M553" s="45">
        <v>166650</v>
      </c>
      <c r="N553" s="45">
        <v>297600</v>
      </c>
      <c r="O553" s="27">
        <v>132</v>
      </c>
      <c r="P553" s="46">
        <f t="shared" si="51"/>
        <v>0.44002016129032256</v>
      </c>
      <c r="Q553" s="27">
        <v>43</v>
      </c>
      <c r="R553" s="44">
        <f t="shared" si="48"/>
        <v>12796800</v>
      </c>
      <c r="S553" s="29">
        <v>0.03</v>
      </c>
      <c r="T553" s="44">
        <f t="shared" si="52"/>
        <v>12412896</v>
      </c>
      <c r="U553" s="44">
        <f t="shared" si="53"/>
        <v>5246946</v>
      </c>
      <c r="V553" s="44"/>
    </row>
    <row r="554" spans="1:22" ht="14.5" x14ac:dyDescent="0.35">
      <c r="A554" s="47" t="str">
        <f t="shared" si="49"/>
        <v>SBY-JR-E1032-2019</v>
      </c>
      <c r="B554" s="26">
        <v>43736</v>
      </c>
      <c r="C554" s="42">
        <v>2019</v>
      </c>
      <c r="D554" s="27" t="s">
        <v>491</v>
      </c>
      <c r="E554" s="27" t="s">
        <v>41</v>
      </c>
      <c r="F554" s="42" t="str" cm="1">
        <f t="array" ref="F554">_xlfn.IFS(E554="Bandung","BDG",E554="Surabaya","SBY",E554="Jakarta","JKT")</f>
        <v>SBY</v>
      </c>
      <c r="G554" s="27" t="s">
        <v>53</v>
      </c>
      <c r="H554" s="27" t="s">
        <v>123</v>
      </c>
      <c r="I554" s="27" t="s">
        <v>35</v>
      </c>
      <c r="J554" s="26">
        <v>43738</v>
      </c>
      <c r="K554" s="26">
        <v>43738</v>
      </c>
      <c r="L554" s="27">
        <f t="shared" si="50"/>
        <v>2</v>
      </c>
      <c r="M554" s="45">
        <v>208200</v>
      </c>
      <c r="N554" s="45">
        <v>335700</v>
      </c>
      <c r="O554" s="27">
        <v>224</v>
      </c>
      <c r="P554" s="46">
        <f t="shared" si="51"/>
        <v>0.37980339588918677</v>
      </c>
      <c r="Q554" s="27">
        <v>11</v>
      </c>
      <c r="R554" s="44">
        <f t="shared" si="48"/>
        <v>3692700</v>
      </c>
      <c r="S554" s="29">
        <v>0.01</v>
      </c>
      <c r="T554" s="44">
        <f t="shared" si="52"/>
        <v>3655773</v>
      </c>
      <c r="U554" s="44">
        <f t="shared" si="53"/>
        <v>1365573</v>
      </c>
      <c r="V554" s="44"/>
    </row>
    <row r="555" spans="1:22" ht="14.5" x14ac:dyDescent="0.35">
      <c r="A555" s="47" t="str">
        <f t="shared" si="49"/>
        <v>SBY-JG-E1034-2019</v>
      </c>
      <c r="B555" s="26">
        <v>43623</v>
      </c>
      <c r="C555" s="42">
        <v>2019</v>
      </c>
      <c r="D555" s="27" t="s">
        <v>661</v>
      </c>
      <c r="E555" s="27" t="s">
        <v>41</v>
      </c>
      <c r="F555" s="42" t="str" cm="1">
        <f t="array" ref="F555">_xlfn.IFS(E555="Bandung","BDG",E555="Surabaya","SBY",E555="Jakarta","JKT")</f>
        <v>SBY</v>
      </c>
      <c r="G555" s="27" t="s">
        <v>65</v>
      </c>
      <c r="H555" s="27" t="s">
        <v>391</v>
      </c>
      <c r="I555" s="27" t="s">
        <v>35</v>
      </c>
      <c r="J555" s="26">
        <v>43624</v>
      </c>
      <c r="K555" s="26">
        <v>43683</v>
      </c>
      <c r="L555" s="27">
        <f t="shared" si="50"/>
        <v>60</v>
      </c>
      <c r="M555" s="45">
        <v>329550</v>
      </c>
      <c r="N555" s="45">
        <v>531600</v>
      </c>
      <c r="O555" s="27">
        <v>142</v>
      </c>
      <c r="P555" s="46">
        <f t="shared" si="51"/>
        <v>0.38007900677200901</v>
      </c>
      <c r="Q555" s="27">
        <v>48</v>
      </c>
      <c r="R555" s="44">
        <f t="shared" si="48"/>
        <v>25516800</v>
      </c>
      <c r="S555" s="29">
        <v>0.08</v>
      </c>
      <c r="T555" s="44">
        <f t="shared" si="52"/>
        <v>23475456</v>
      </c>
      <c r="U555" s="44">
        <f t="shared" si="53"/>
        <v>7657056</v>
      </c>
      <c r="V555" s="44"/>
    </row>
    <row r="556" spans="1:22" ht="14.5" x14ac:dyDescent="0.35">
      <c r="A556" s="47" t="str">
        <f t="shared" si="49"/>
        <v>SBY-JG-E1034-2019</v>
      </c>
      <c r="B556" s="26">
        <v>43698</v>
      </c>
      <c r="C556" s="42">
        <v>2019</v>
      </c>
      <c r="D556" s="27" t="s">
        <v>661</v>
      </c>
      <c r="E556" s="27" t="s">
        <v>41</v>
      </c>
      <c r="F556" s="42" t="str" cm="1">
        <f t="array" ref="F556">_xlfn.IFS(E556="Bandung","BDG",E556="Surabaya","SBY",E556="Jakarta","JKT")</f>
        <v>SBY</v>
      </c>
      <c r="G556" s="27" t="s">
        <v>65</v>
      </c>
      <c r="H556" s="27" t="s">
        <v>69</v>
      </c>
      <c r="I556" s="27" t="s">
        <v>39</v>
      </c>
      <c r="J556" s="26">
        <v>43698</v>
      </c>
      <c r="K556" s="26">
        <v>43698</v>
      </c>
      <c r="L556" s="27">
        <f t="shared" si="50"/>
        <v>0</v>
      </c>
      <c r="M556" s="45">
        <v>10650</v>
      </c>
      <c r="N556" s="45">
        <v>17100</v>
      </c>
      <c r="O556" s="27">
        <v>171</v>
      </c>
      <c r="P556" s="46">
        <f t="shared" si="51"/>
        <v>0.37719298245614036</v>
      </c>
      <c r="Q556" s="27">
        <v>20</v>
      </c>
      <c r="R556" s="44">
        <f t="shared" si="48"/>
        <v>342000</v>
      </c>
      <c r="S556" s="29">
        <v>0.09</v>
      </c>
      <c r="T556" s="44">
        <f t="shared" si="52"/>
        <v>311220</v>
      </c>
      <c r="U556" s="44">
        <f t="shared" si="53"/>
        <v>98220</v>
      </c>
      <c r="V556" s="44"/>
    </row>
    <row r="557" spans="1:22" ht="14.5" x14ac:dyDescent="0.35">
      <c r="A557" s="47" t="str">
        <f t="shared" si="49"/>
        <v>SBY-JG-E1034-2019</v>
      </c>
      <c r="B557" s="26">
        <v>43806</v>
      </c>
      <c r="C557" s="42">
        <v>2019</v>
      </c>
      <c r="D557" s="27" t="s">
        <v>661</v>
      </c>
      <c r="E557" s="27" t="s">
        <v>41</v>
      </c>
      <c r="F557" s="42" t="str" cm="1">
        <f t="array" ref="F557">_xlfn.IFS(E557="Bandung","BDG",E557="Surabaya","SBY",E557="Jakarta","JKT")</f>
        <v>SBY</v>
      </c>
      <c r="G557" s="27" t="s">
        <v>65</v>
      </c>
      <c r="H557" s="27" t="s">
        <v>227</v>
      </c>
      <c r="I557" s="27" t="s">
        <v>39</v>
      </c>
      <c r="J557" s="26">
        <v>43658</v>
      </c>
      <c r="K557" s="26">
        <v>43806</v>
      </c>
      <c r="L557" s="27">
        <f t="shared" si="50"/>
        <v>0</v>
      </c>
      <c r="M557" s="45">
        <v>22950</v>
      </c>
      <c r="N557" s="45">
        <v>41700</v>
      </c>
      <c r="O557" s="27">
        <v>153</v>
      </c>
      <c r="P557" s="46">
        <f t="shared" si="51"/>
        <v>0.44964028776978415</v>
      </c>
      <c r="Q557" s="27">
        <v>23</v>
      </c>
      <c r="R557" s="44">
        <f t="shared" si="48"/>
        <v>959100</v>
      </c>
      <c r="S557" s="29">
        <v>0.01</v>
      </c>
      <c r="T557" s="44">
        <f t="shared" si="52"/>
        <v>949509</v>
      </c>
      <c r="U557" s="44">
        <f t="shared" si="53"/>
        <v>421659</v>
      </c>
      <c r="V557" s="44"/>
    </row>
    <row r="558" spans="1:22" ht="14.5" x14ac:dyDescent="0.35">
      <c r="A558" s="47" t="str">
        <f t="shared" si="49"/>
        <v>BDG-JM-E1033-2017</v>
      </c>
      <c r="B558" s="26">
        <v>42967</v>
      </c>
      <c r="C558" s="42">
        <v>2017</v>
      </c>
      <c r="D558" s="27" t="s">
        <v>415</v>
      </c>
      <c r="E558" s="27" t="s">
        <v>136</v>
      </c>
      <c r="F558" s="42" t="str" cm="1">
        <f t="array" ref="F558">_xlfn.IFS(E558="Bandung","BDG",E558="Surabaya","SBY",E558="Jakarta","JKT")</f>
        <v>BDG</v>
      </c>
      <c r="G558" s="27" t="s">
        <v>60</v>
      </c>
      <c r="H558" s="27" t="s">
        <v>241</v>
      </c>
      <c r="I558" s="27" t="s">
        <v>39</v>
      </c>
      <c r="J558" s="26" t="s">
        <v>1622</v>
      </c>
      <c r="K558" s="26">
        <v>42972</v>
      </c>
      <c r="L558" s="27">
        <f t="shared" si="50"/>
        <v>5</v>
      </c>
      <c r="M558" s="45">
        <v>13950</v>
      </c>
      <c r="N558" s="45">
        <v>22200</v>
      </c>
      <c r="O558" s="27">
        <v>106</v>
      </c>
      <c r="P558" s="46">
        <f t="shared" si="51"/>
        <v>0.3716216216216216</v>
      </c>
      <c r="Q558" s="27">
        <v>33</v>
      </c>
      <c r="R558" s="44">
        <f t="shared" si="48"/>
        <v>732600</v>
      </c>
      <c r="S558" s="29">
        <v>7.0000000000000007E-2</v>
      </c>
      <c r="T558" s="44">
        <f t="shared" si="52"/>
        <v>681318</v>
      </c>
      <c r="U558" s="44">
        <f t="shared" si="53"/>
        <v>220968</v>
      </c>
      <c r="V558" s="44"/>
    </row>
    <row r="559" spans="1:22" ht="14.5" x14ac:dyDescent="0.35">
      <c r="A559" s="47" t="str">
        <f t="shared" si="49"/>
        <v>BDG-JM-E1033-2018</v>
      </c>
      <c r="B559" s="26">
        <v>43114</v>
      </c>
      <c r="C559" s="42">
        <v>2018</v>
      </c>
      <c r="D559" s="27" t="s">
        <v>415</v>
      </c>
      <c r="E559" s="27" t="s">
        <v>136</v>
      </c>
      <c r="F559" s="42" t="str" cm="1">
        <f t="array" ref="F559">_xlfn.IFS(E559="Bandung","BDG",E559="Surabaya","SBY",E559="Jakarta","JKT")</f>
        <v>BDG</v>
      </c>
      <c r="G559" s="27" t="s">
        <v>60</v>
      </c>
      <c r="H559" s="27" t="s">
        <v>391</v>
      </c>
      <c r="I559" s="27" t="s">
        <v>35</v>
      </c>
      <c r="J559" s="26">
        <v>43116</v>
      </c>
      <c r="K559" s="26">
        <v>43116</v>
      </c>
      <c r="L559" s="27">
        <f t="shared" si="50"/>
        <v>2</v>
      </c>
      <c r="M559" s="45">
        <v>329550</v>
      </c>
      <c r="N559" s="45">
        <v>531600</v>
      </c>
      <c r="O559" s="27">
        <v>94</v>
      </c>
      <c r="P559" s="46">
        <f t="shared" si="51"/>
        <v>0.38007900677200901</v>
      </c>
      <c r="Q559" s="27">
        <v>29</v>
      </c>
      <c r="R559" s="44">
        <f t="shared" si="48"/>
        <v>15416400</v>
      </c>
      <c r="S559" s="29">
        <v>0.03</v>
      </c>
      <c r="T559" s="44">
        <f t="shared" si="52"/>
        <v>14953908</v>
      </c>
      <c r="U559" s="44">
        <f t="shared" si="53"/>
        <v>5396958</v>
      </c>
      <c r="V559" s="44"/>
    </row>
    <row r="560" spans="1:22" ht="14.5" x14ac:dyDescent="0.35">
      <c r="A560" s="47" t="str">
        <f t="shared" si="49"/>
        <v>BDG-JM-E1033-2018</v>
      </c>
      <c r="B560" s="26">
        <v>43150</v>
      </c>
      <c r="C560" s="42">
        <v>2018</v>
      </c>
      <c r="D560" s="27" t="s">
        <v>415</v>
      </c>
      <c r="E560" s="27" t="s">
        <v>136</v>
      </c>
      <c r="F560" s="42" t="str" cm="1">
        <f t="array" ref="F560">_xlfn.IFS(E560="Bandung","BDG",E560="Surabaya","SBY",E560="Jakarta","JKT")</f>
        <v>BDG</v>
      </c>
      <c r="G560" s="27" t="s">
        <v>60</v>
      </c>
      <c r="H560" s="27" t="s">
        <v>363</v>
      </c>
      <c r="I560" s="27" t="s">
        <v>236</v>
      </c>
      <c r="J560" s="26">
        <v>43152</v>
      </c>
      <c r="K560" s="26">
        <v>43152</v>
      </c>
      <c r="L560" s="27">
        <f t="shared" si="50"/>
        <v>2</v>
      </c>
      <c r="M560" s="45">
        <v>5669850</v>
      </c>
      <c r="N560" s="45">
        <v>8999850</v>
      </c>
      <c r="O560" s="27">
        <v>145</v>
      </c>
      <c r="P560" s="46">
        <f t="shared" si="51"/>
        <v>0.37000616676944614</v>
      </c>
      <c r="Q560" s="27">
        <v>41</v>
      </c>
      <c r="R560" s="44">
        <f t="shared" si="48"/>
        <v>368993850</v>
      </c>
      <c r="S560" s="29">
        <v>7.0000000000000007E-2</v>
      </c>
      <c r="T560" s="44">
        <f t="shared" si="52"/>
        <v>343164280.5</v>
      </c>
      <c r="U560" s="44">
        <f t="shared" si="53"/>
        <v>110700430.5</v>
      </c>
      <c r="V560" s="44"/>
    </row>
    <row r="561" spans="1:22" ht="14.5" x14ac:dyDescent="0.35">
      <c r="A561" s="47" t="str">
        <f t="shared" si="49"/>
        <v>BDG-JM-E1033-2018</v>
      </c>
      <c r="B561" s="26">
        <v>43174</v>
      </c>
      <c r="C561" s="42">
        <v>2018</v>
      </c>
      <c r="D561" s="27" t="s">
        <v>415</v>
      </c>
      <c r="E561" s="27" t="s">
        <v>136</v>
      </c>
      <c r="F561" s="42" t="str" cm="1">
        <f t="array" ref="F561">_xlfn.IFS(E561="Bandung","BDG",E561="Surabaya","SBY",E561="Jakarta","JKT")</f>
        <v>BDG</v>
      </c>
      <c r="G561" s="27" t="s">
        <v>60</v>
      </c>
      <c r="H561" s="27" t="s">
        <v>219</v>
      </c>
      <c r="I561" s="27" t="s">
        <v>39</v>
      </c>
      <c r="J561" s="26">
        <v>43178</v>
      </c>
      <c r="K561" s="26">
        <v>43178</v>
      </c>
      <c r="L561" s="27">
        <f t="shared" si="50"/>
        <v>4</v>
      </c>
      <c r="M561" s="45">
        <v>29250</v>
      </c>
      <c r="N561" s="45">
        <v>59700</v>
      </c>
      <c r="O561" s="27">
        <v>75</v>
      </c>
      <c r="P561" s="46">
        <f t="shared" si="51"/>
        <v>0.51005025125628145</v>
      </c>
      <c r="Q561" s="27">
        <v>4</v>
      </c>
      <c r="R561" s="44">
        <f t="shared" si="48"/>
        <v>238800</v>
      </c>
      <c r="S561" s="29">
        <v>0.02</v>
      </c>
      <c r="T561" s="44">
        <f t="shared" si="52"/>
        <v>234024</v>
      </c>
      <c r="U561" s="44">
        <f t="shared" si="53"/>
        <v>117024</v>
      </c>
      <c r="V561" s="44"/>
    </row>
    <row r="562" spans="1:22" ht="14.5" x14ac:dyDescent="0.35">
      <c r="A562" s="47" t="str">
        <f t="shared" si="49"/>
        <v>SBY-JH-E1034-2017</v>
      </c>
      <c r="B562" s="26">
        <v>42978</v>
      </c>
      <c r="C562" s="42">
        <v>2017</v>
      </c>
      <c r="D562" s="27" t="s">
        <v>420</v>
      </c>
      <c r="E562" s="27" t="s">
        <v>41</v>
      </c>
      <c r="F562" s="42" t="str" cm="1">
        <f t="array" ref="F562">_xlfn.IFS(E562="Bandung","BDG",E562="Surabaya","SBY",E562="Jakarta","JKT")</f>
        <v>SBY</v>
      </c>
      <c r="G562" s="27" t="s">
        <v>65</v>
      </c>
      <c r="H562" s="27" t="s">
        <v>343</v>
      </c>
      <c r="I562" s="27" t="s">
        <v>39</v>
      </c>
      <c r="J562" s="26">
        <v>42983</v>
      </c>
      <c r="K562" s="26">
        <v>42864</v>
      </c>
      <c r="L562" s="27">
        <f t="shared" si="50"/>
        <v>-114</v>
      </c>
      <c r="M562" s="45">
        <v>34650</v>
      </c>
      <c r="N562" s="45">
        <v>56700</v>
      </c>
      <c r="O562" s="27">
        <v>156</v>
      </c>
      <c r="P562" s="46">
        <f t="shared" si="51"/>
        <v>0.3888888888888889</v>
      </c>
      <c r="Q562" s="27">
        <v>15</v>
      </c>
      <c r="R562" s="44">
        <f t="shared" si="48"/>
        <v>850500</v>
      </c>
      <c r="S562" s="29">
        <v>0.03</v>
      </c>
      <c r="T562" s="44">
        <f t="shared" si="52"/>
        <v>824985</v>
      </c>
      <c r="U562" s="44">
        <f t="shared" si="53"/>
        <v>305235</v>
      </c>
      <c r="V562" s="44"/>
    </row>
    <row r="563" spans="1:22" ht="14.5" x14ac:dyDescent="0.35">
      <c r="A563" s="47" t="str">
        <f t="shared" si="49"/>
        <v>JKT-JW-E1029-2018</v>
      </c>
      <c r="B563" s="26">
        <v>43430</v>
      </c>
      <c r="C563" s="42">
        <v>2018</v>
      </c>
      <c r="D563" s="27" t="s">
        <v>618</v>
      </c>
      <c r="E563" s="27" t="s">
        <v>32</v>
      </c>
      <c r="F563" s="42" t="str" cm="1">
        <f t="array" ref="F563">_xlfn.IFS(E563="Bandung","BDG",E563="Surabaya","SBY",E563="Jakarta","JKT")</f>
        <v>JKT</v>
      </c>
      <c r="G563" s="27" t="s">
        <v>37</v>
      </c>
      <c r="H563" s="27" t="s">
        <v>130</v>
      </c>
      <c r="I563" s="27" t="s">
        <v>39</v>
      </c>
      <c r="J563" s="26">
        <v>43432</v>
      </c>
      <c r="K563" s="26">
        <v>43432</v>
      </c>
      <c r="L563" s="27">
        <f t="shared" si="50"/>
        <v>2</v>
      </c>
      <c r="M563" s="45">
        <v>56250</v>
      </c>
      <c r="N563" s="45">
        <v>106200</v>
      </c>
      <c r="O563" s="27">
        <v>169</v>
      </c>
      <c r="P563" s="46">
        <f t="shared" si="51"/>
        <v>0.47033898305084748</v>
      </c>
      <c r="Q563" s="27">
        <v>48</v>
      </c>
      <c r="R563" s="44">
        <f t="shared" si="48"/>
        <v>5097600</v>
      </c>
      <c r="S563" s="29">
        <v>0.03</v>
      </c>
      <c r="T563" s="44">
        <f t="shared" si="52"/>
        <v>4944672</v>
      </c>
      <c r="U563" s="44">
        <f t="shared" si="53"/>
        <v>2244672</v>
      </c>
      <c r="V563" s="44"/>
    </row>
    <row r="564" spans="1:22" ht="14.5" x14ac:dyDescent="0.35">
      <c r="A564" s="47" t="str">
        <f t="shared" si="49"/>
        <v>SBY-JM-E1034-2018</v>
      </c>
      <c r="B564" s="26">
        <v>43110</v>
      </c>
      <c r="C564" s="42">
        <v>2018</v>
      </c>
      <c r="D564" s="27" t="s">
        <v>485</v>
      </c>
      <c r="E564" s="27" t="s">
        <v>41</v>
      </c>
      <c r="F564" s="42" t="str" cm="1">
        <f t="array" ref="F564">_xlfn.IFS(E564="Bandung","BDG",E564="Surabaya","SBY",E564="Jakarta","JKT")</f>
        <v>SBY</v>
      </c>
      <c r="G564" s="27" t="s">
        <v>65</v>
      </c>
      <c r="H564" s="27" t="s">
        <v>443</v>
      </c>
      <c r="I564" s="27" t="s">
        <v>39</v>
      </c>
      <c r="J564" s="26">
        <v>43111</v>
      </c>
      <c r="K564" s="26">
        <v>43405</v>
      </c>
      <c r="L564" s="27">
        <f t="shared" si="50"/>
        <v>295</v>
      </c>
      <c r="M564" s="45">
        <v>22950</v>
      </c>
      <c r="N564" s="45">
        <v>37050</v>
      </c>
      <c r="O564" s="27">
        <v>137</v>
      </c>
      <c r="P564" s="46">
        <f t="shared" si="51"/>
        <v>0.38056680161943318</v>
      </c>
      <c r="Q564" s="27">
        <v>49</v>
      </c>
      <c r="R564" s="44">
        <f t="shared" si="48"/>
        <v>1815450</v>
      </c>
      <c r="S564" s="29">
        <v>0.03</v>
      </c>
      <c r="T564" s="44">
        <f t="shared" si="52"/>
        <v>1760986.5</v>
      </c>
      <c r="U564" s="44">
        <f t="shared" si="53"/>
        <v>636436.5</v>
      </c>
      <c r="V564" s="44"/>
    </row>
    <row r="565" spans="1:22" ht="14.5" x14ac:dyDescent="0.35">
      <c r="A565" s="47" t="str">
        <f t="shared" si="49"/>
        <v>SBY-JM-E1040-2016</v>
      </c>
      <c r="B565" s="26">
        <v>42629</v>
      </c>
      <c r="C565" s="42">
        <v>2016</v>
      </c>
      <c r="D565" s="27" t="s">
        <v>159</v>
      </c>
      <c r="E565" s="27" t="s">
        <v>41</v>
      </c>
      <c r="F565" s="42" t="str" cm="1">
        <f t="array" ref="F565">_xlfn.IFS(E565="Bandung","BDG",E565="Surabaya","SBY",E565="Jakarta","JKT")</f>
        <v>SBY</v>
      </c>
      <c r="G565" s="27" t="s">
        <v>160</v>
      </c>
      <c r="H565" s="27" t="s">
        <v>161</v>
      </c>
      <c r="I565" s="27" t="s">
        <v>39</v>
      </c>
      <c r="J565" s="26">
        <v>42631</v>
      </c>
      <c r="K565" s="26">
        <v>42631</v>
      </c>
      <c r="L565" s="27">
        <f t="shared" si="50"/>
        <v>2</v>
      </c>
      <c r="M565" s="45">
        <v>26400</v>
      </c>
      <c r="N565" s="45">
        <v>50700</v>
      </c>
      <c r="O565" s="27">
        <v>34</v>
      </c>
      <c r="P565" s="46">
        <f t="shared" si="51"/>
        <v>0.47928994082840237</v>
      </c>
      <c r="Q565" s="27">
        <v>34</v>
      </c>
      <c r="R565" s="44">
        <f t="shared" si="48"/>
        <v>1723800</v>
      </c>
      <c r="S565" s="29">
        <v>7.0000000000000007E-2</v>
      </c>
      <c r="T565" s="44">
        <f t="shared" si="52"/>
        <v>1603134</v>
      </c>
      <c r="U565" s="44">
        <f t="shared" si="53"/>
        <v>705534</v>
      </c>
      <c r="V565" s="44"/>
    </row>
    <row r="566" spans="1:22" ht="14.5" x14ac:dyDescent="0.35">
      <c r="A566" s="47" t="str">
        <f t="shared" si="49"/>
        <v>SBY-IU-E1036-2016</v>
      </c>
      <c r="B566" s="26">
        <v>42694</v>
      </c>
      <c r="C566" s="42">
        <v>2016</v>
      </c>
      <c r="D566" s="27" t="s">
        <v>232</v>
      </c>
      <c r="E566" s="27" t="s">
        <v>41</v>
      </c>
      <c r="F566" s="42" t="str" cm="1">
        <f t="array" ref="F566">_xlfn.IFS(E566="Bandung","BDG",E566="Surabaya","SBY",E566="Jakarta","JKT")</f>
        <v>SBY</v>
      </c>
      <c r="G566" s="27" t="s">
        <v>78</v>
      </c>
      <c r="H566" s="27" t="s">
        <v>211</v>
      </c>
      <c r="I566" s="27" t="s">
        <v>35</v>
      </c>
      <c r="J566" s="26">
        <v>42695</v>
      </c>
      <c r="K566" s="26">
        <v>42695</v>
      </c>
      <c r="L566" s="27">
        <f t="shared" si="50"/>
        <v>1</v>
      </c>
      <c r="M566" s="45">
        <v>97650</v>
      </c>
      <c r="N566" s="45">
        <v>464700</v>
      </c>
      <c r="O566" s="27">
        <v>118</v>
      </c>
      <c r="P566" s="46">
        <f t="shared" si="51"/>
        <v>0.78986442866365392</v>
      </c>
      <c r="Q566" s="27">
        <v>44</v>
      </c>
      <c r="R566" s="44">
        <f t="shared" si="48"/>
        <v>20446800</v>
      </c>
      <c r="S566" s="29">
        <v>0.02</v>
      </c>
      <c r="T566" s="44">
        <f t="shared" si="52"/>
        <v>20037864</v>
      </c>
      <c r="U566" s="44">
        <f t="shared" si="53"/>
        <v>15741264</v>
      </c>
      <c r="V566" s="44"/>
    </row>
    <row r="567" spans="1:22" ht="14.5" x14ac:dyDescent="0.35">
      <c r="A567" s="47" t="str">
        <f t="shared" si="49"/>
        <v>SBY-IU-E1036-2018</v>
      </c>
      <c r="B567" s="26">
        <v>43164</v>
      </c>
      <c r="C567" s="42">
        <v>2018</v>
      </c>
      <c r="D567" s="27" t="s">
        <v>232</v>
      </c>
      <c r="E567" s="27" t="s">
        <v>41</v>
      </c>
      <c r="F567" s="42" t="str" cm="1">
        <f t="array" ref="F567">_xlfn.IFS(E567="Bandung","BDG",E567="Surabaya","SBY",E567="Jakarta","JKT")</f>
        <v>SBY</v>
      </c>
      <c r="G567" s="27" t="s">
        <v>78</v>
      </c>
      <c r="H567" s="27" t="s">
        <v>101</v>
      </c>
      <c r="I567" s="27" t="s">
        <v>35</v>
      </c>
      <c r="J567" s="26">
        <v>43166</v>
      </c>
      <c r="K567" s="26">
        <v>43284</v>
      </c>
      <c r="L567" s="27">
        <f t="shared" si="50"/>
        <v>120</v>
      </c>
      <c r="M567" s="45">
        <v>480300.00000000006</v>
      </c>
      <c r="N567" s="45">
        <v>2287200</v>
      </c>
      <c r="O567" s="27">
        <v>216</v>
      </c>
      <c r="P567" s="46">
        <f t="shared" si="51"/>
        <v>0.79000524658971671</v>
      </c>
      <c r="Q567" s="27">
        <v>29</v>
      </c>
      <c r="R567" s="44">
        <f t="shared" si="48"/>
        <v>66328800</v>
      </c>
      <c r="S567" s="29">
        <v>0.09</v>
      </c>
      <c r="T567" s="44">
        <f t="shared" si="52"/>
        <v>60359208</v>
      </c>
      <c r="U567" s="44">
        <f t="shared" si="53"/>
        <v>46430508</v>
      </c>
      <c r="V567" s="44"/>
    </row>
    <row r="568" spans="1:22" ht="14.5" x14ac:dyDescent="0.35">
      <c r="A568" s="47" t="str">
        <f t="shared" si="49"/>
        <v>SBY-IW-E1041-2017</v>
      </c>
      <c r="B568" s="26">
        <v>43057</v>
      </c>
      <c r="C568" s="42">
        <v>2017</v>
      </c>
      <c r="D568" s="27" t="s">
        <v>467</v>
      </c>
      <c r="E568" s="27" t="s">
        <v>41</v>
      </c>
      <c r="F568" s="42" t="str" cm="1">
        <f t="array" ref="F568">_xlfn.IFS(E568="Bandung","BDG",E568="Surabaya","SBY",E568="Jakarta","JKT")</f>
        <v>SBY</v>
      </c>
      <c r="G568" s="27" t="s">
        <v>166</v>
      </c>
      <c r="H568" s="27" t="s">
        <v>214</v>
      </c>
      <c r="I568" s="27" t="s">
        <v>35</v>
      </c>
      <c r="J568" s="26" t="s">
        <v>1642</v>
      </c>
      <c r="K568" s="26">
        <v>43057</v>
      </c>
      <c r="L568" s="27">
        <f t="shared" si="50"/>
        <v>0</v>
      </c>
      <c r="M568" s="45">
        <v>54750</v>
      </c>
      <c r="N568" s="45">
        <v>89700</v>
      </c>
      <c r="O568" s="27">
        <v>207</v>
      </c>
      <c r="P568" s="46">
        <f t="shared" si="51"/>
        <v>0.38963210702341139</v>
      </c>
      <c r="Q568" s="27">
        <v>32</v>
      </c>
      <c r="R568" s="44">
        <f t="shared" si="48"/>
        <v>2870400</v>
      </c>
      <c r="S568" s="29">
        <v>0.1</v>
      </c>
      <c r="T568" s="44">
        <f t="shared" si="52"/>
        <v>2583360</v>
      </c>
      <c r="U568" s="44">
        <f t="shared" si="53"/>
        <v>831360</v>
      </c>
      <c r="V568" s="44"/>
    </row>
    <row r="569" spans="1:22" ht="14.5" x14ac:dyDescent="0.35">
      <c r="A569" s="47" t="str">
        <f t="shared" si="49"/>
        <v>JKT-IP-E1028-2017</v>
      </c>
      <c r="B569" s="26">
        <v>42915</v>
      </c>
      <c r="C569" s="42">
        <v>2017</v>
      </c>
      <c r="D569" s="27" t="s">
        <v>390</v>
      </c>
      <c r="E569" s="27" t="s">
        <v>32</v>
      </c>
      <c r="F569" s="42" t="str" cm="1">
        <f t="array" ref="F569">_xlfn.IFS(E569="Bandung","BDG",E569="Surabaya","SBY",E569="Jakarta","JKT")</f>
        <v>JKT</v>
      </c>
      <c r="G569" s="27" t="s">
        <v>33</v>
      </c>
      <c r="H569" s="27" t="s">
        <v>391</v>
      </c>
      <c r="I569" s="27" t="s">
        <v>35</v>
      </c>
      <c r="J569" s="26">
        <v>42916</v>
      </c>
      <c r="K569" s="26">
        <v>42916</v>
      </c>
      <c r="L569" s="27">
        <f t="shared" si="50"/>
        <v>1</v>
      </c>
      <c r="M569" s="45">
        <v>329550</v>
      </c>
      <c r="N569" s="45">
        <v>531600</v>
      </c>
      <c r="O569" s="27">
        <v>65</v>
      </c>
      <c r="P569" s="46">
        <f t="shared" si="51"/>
        <v>0.38007900677200901</v>
      </c>
      <c r="Q569" s="27">
        <v>21</v>
      </c>
      <c r="R569" s="44">
        <f t="shared" si="48"/>
        <v>11163600</v>
      </c>
      <c r="S569" s="29">
        <v>0</v>
      </c>
      <c r="T569" s="44">
        <f t="shared" si="52"/>
        <v>11163600</v>
      </c>
      <c r="U569" s="44">
        <f t="shared" si="53"/>
        <v>4243050</v>
      </c>
      <c r="V569" s="44"/>
    </row>
    <row r="570" spans="1:22" ht="14.5" x14ac:dyDescent="0.35">
      <c r="A570" s="47" t="str">
        <f t="shared" si="49"/>
        <v>SBY-IF-E1039-2017</v>
      </c>
      <c r="B570" s="26">
        <v>42915</v>
      </c>
      <c r="C570" s="42">
        <v>2017</v>
      </c>
      <c r="D570" s="27" t="s">
        <v>388</v>
      </c>
      <c r="E570" s="27" t="s">
        <v>41</v>
      </c>
      <c r="F570" s="42" t="str" cm="1">
        <f t="array" ref="F570">_xlfn.IFS(E570="Bandung","BDG",E570="Surabaya","SBY",E570="Jakarta","JKT")</f>
        <v>SBY</v>
      </c>
      <c r="G570" s="27" t="s">
        <v>103</v>
      </c>
      <c r="H570" s="27" t="s">
        <v>51</v>
      </c>
      <c r="I570" s="27" t="s">
        <v>39</v>
      </c>
      <c r="J570" s="26" t="s">
        <v>1613</v>
      </c>
      <c r="K570" s="26">
        <v>42916</v>
      </c>
      <c r="L570" s="27">
        <f t="shared" si="50"/>
        <v>1</v>
      </c>
      <c r="M570" s="45">
        <v>16350.000000000002</v>
      </c>
      <c r="N570" s="45">
        <v>39000</v>
      </c>
      <c r="O570" s="27">
        <v>169</v>
      </c>
      <c r="P570" s="46">
        <f t="shared" si="51"/>
        <v>0.58076923076923082</v>
      </c>
      <c r="Q570" s="27">
        <v>43</v>
      </c>
      <c r="R570" s="44">
        <f t="shared" si="48"/>
        <v>1677000</v>
      </c>
      <c r="S570" s="29">
        <v>0.01</v>
      </c>
      <c r="T570" s="44">
        <f t="shared" si="52"/>
        <v>1660230</v>
      </c>
      <c r="U570" s="44">
        <f t="shared" si="53"/>
        <v>957179.99999999988</v>
      </c>
      <c r="V570" s="44"/>
    </row>
    <row r="571" spans="1:22" ht="14.5" x14ac:dyDescent="0.35">
      <c r="A571" s="47" t="str">
        <f t="shared" si="49"/>
        <v>SBY-IF-E1039-2018</v>
      </c>
      <c r="B571" s="26">
        <v>43215</v>
      </c>
      <c r="C571" s="42">
        <v>2018</v>
      </c>
      <c r="D571" s="27" t="s">
        <v>388</v>
      </c>
      <c r="E571" s="27" t="s">
        <v>41</v>
      </c>
      <c r="F571" s="42" t="str" cm="1">
        <f t="array" ref="F571">_xlfn.IFS(E571="Bandung","BDG",E571="Surabaya","SBY",E571="Jakarta","JKT")</f>
        <v>SBY</v>
      </c>
      <c r="G571" s="27" t="s">
        <v>103</v>
      </c>
      <c r="H571" s="27" t="s">
        <v>49</v>
      </c>
      <c r="I571" s="27" t="s">
        <v>39</v>
      </c>
      <c r="J571" s="26" t="s">
        <v>1660</v>
      </c>
      <c r="K571" s="26">
        <v>43217</v>
      </c>
      <c r="L571" s="27">
        <f t="shared" si="50"/>
        <v>2</v>
      </c>
      <c r="M571" s="45">
        <v>13500</v>
      </c>
      <c r="N571" s="45">
        <v>31500</v>
      </c>
      <c r="O571" s="27">
        <v>83</v>
      </c>
      <c r="P571" s="46">
        <f t="shared" si="51"/>
        <v>0.5714285714285714</v>
      </c>
      <c r="Q571" s="27">
        <v>23</v>
      </c>
      <c r="R571" s="44">
        <f t="shared" si="48"/>
        <v>724500</v>
      </c>
      <c r="S571" s="29">
        <v>0.06</v>
      </c>
      <c r="T571" s="44">
        <f t="shared" si="52"/>
        <v>681030</v>
      </c>
      <c r="U571" s="44">
        <f t="shared" si="53"/>
        <v>370530</v>
      </c>
      <c r="V571" s="44"/>
    </row>
    <row r="572" spans="1:22" ht="14.5" x14ac:dyDescent="0.35">
      <c r="A572" s="47" t="str">
        <f t="shared" si="49"/>
        <v>SBY-IP-E1036-2018</v>
      </c>
      <c r="B572" s="26">
        <v>43195</v>
      </c>
      <c r="C572" s="42">
        <v>2018</v>
      </c>
      <c r="D572" s="27" t="s">
        <v>519</v>
      </c>
      <c r="E572" s="27" t="s">
        <v>41</v>
      </c>
      <c r="F572" s="42" t="str" cm="1">
        <f t="array" ref="F572">_xlfn.IFS(E572="Bandung","BDG",E572="Surabaya","SBY",E572="Jakarta","JKT")</f>
        <v>SBY</v>
      </c>
      <c r="G572" s="27" t="s">
        <v>78</v>
      </c>
      <c r="H572" s="27" t="s">
        <v>455</v>
      </c>
      <c r="I572" s="27" t="s">
        <v>39</v>
      </c>
      <c r="J572" s="26">
        <v>43196</v>
      </c>
      <c r="K572" s="26">
        <v>43255</v>
      </c>
      <c r="L572" s="27">
        <f t="shared" si="50"/>
        <v>60</v>
      </c>
      <c r="M572" s="45">
        <v>13800</v>
      </c>
      <c r="N572" s="45">
        <v>27150</v>
      </c>
      <c r="O572" s="27">
        <v>96</v>
      </c>
      <c r="P572" s="46">
        <f t="shared" si="51"/>
        <v>0.49171270718232046</v>
      </c>
      <c r="Q572" s="27">
        <v>48</v>
      </c>
      <c r="R572" s="44">
        <f t="shared" si="48"/>
        <v>1303200</v>
      </c>
      <c r="S572" s="29">
        <v>0.1</v>
      </c>
      <c r="T572" s="44">
        <f t="shared" si="52"/>
        <v>1172880</v>
      </c>
      <c r="U572" s="44">
        <f t="shared" si="53"/>
        <v>510480</v>
      </c>
      <c r="V572" s="44"/>
    </row>
    <row r="573" spans="1:22" ht="14.5" x14ac:dyDescent="0.35">
      <c r="A573" s="47" t="str">
        <f t="shared" si="49"/>
        <v>JKT-IW-E1029-2017</v>
      </c>
      <c r="B573" s="26">
        <v>42787</v>
      </c>
      <c r="C573" s="42">
        <v>2017</v>
      </c>
      <c r="D573" s="27" t="s">
        <v>307</v>
      </c>
      <c r="E573" s="27" t="s">
        <v>32</v>
      </c>
      <c r="F573" s="42" t="str" cm="1">
        <f t="array" ref="F573">_xlfn.IFS(E573="Bandung","BDG",E573="Surabaya","SBY",E573="Jakarta","JKT")</f>
        <v>JKT</v>
      </c>
      <c r="G573" s="27" t="s">
        <v>37</v>
      </c>
      <c r="H573" s="27" t="s">
        <v>260</v>
      </c>
      <c r="I573" s="27" t="s">
        <v>39</v>
      </c>
      <c r="J573" s="26" t="s">
        <v>1594</v>
      </c>
      <c r="K573" s="26">
        <v>42787</v>
      </c>
      <c r="L573" s="27">
        <f t="shared" si="50"/>
        <v>0</v>
      </c>
      <c r="M573" s="45">
        <v>49800</v>
      </c>
      <c r="N573" s="45">
        <v>77700</v>
      </c>
      <c r="O573" s="27">
        <v>74</v>
      </c>
      <c r="P573" s="46">
        <f t="shared" si="51"/>
        <v>0.35907335907335908</v>
      </c>
      <c r="Q573" s="27">
        <v>8</v>
      </c>
      <c r="R573" s="44">
        <f t="shared" si="48"/>
        <v>621600</v>
      </c>
      <c r="S573" s="29">
        <v>0.06</v>
      </c>
      <c r="T573" s="44">
        <f t="shared" si="52"/>
        <v>584304</v>
      </c>
      <c r="U573" s="44">
        <f t="shared" si="53"/>
        <v>185904</v>
      </c>
      <c r="V573" s="44"/>
    </row>
    <row r="574" spans="1:22" ht="14.5" x14ac:dyDescent="0.35">
      <c r="A574" s="47" t="str">
        <f t="shared" si="49"/>
        <v>SBY-IO-E1037-2016</v>
      </c>
      <c r="B574" s="26">
        <v>42714</v>
      </c>
      <c r="C574" s="42">
        <v>2016</v>
      </c>
      <c r="D574" s="27" t="s">
        <v>254</v>
      </c>
      <c r="E574" s="27" t="s">
        <v>41</v>
      </c>
      <c r="F574" s="42" t="str" cm="1">
        <f t="array" ref="F574">_xlfn.IFS(E574="Bandung","BDG",E574="Surabaya","SBY",E574="Jakarta","JKT")</f>
        <v>SBY</v>
      </c>
      <c r="G574" s="27" t="s">
        <v>83</v>
      </c>
      <c r="H574" s="27" t="s">
        <v>221</v>
      </c>
      <c r="I574" s="27" t="s">
        <v>35</v>
      </c>
      <c r="J574" s="26">
        <v>42686</v>
      </c>
      <c r="K574" s="26">
        <v>42715</v>
      </c>
      <c r="L574" s="27">
        <f t="shared" si="50"/>
        <v>1</v>
      </c>
      <c r="M574" s="45">
        <v>29100</v>
      </c>
      <c r="N574" s="45">
        <v>46200</v>
      </c>
      <c r="O574" s="27">
        <v>165</v>
      </c>
      <c r="P574" s="46">
        <f t="shared" si="51"/>
        <v>0.37012987012987014</v>
      </c>
      <c r="Q574" s="27">
        <v>45</v>
      </c>
      <c r="R574" s="44">
        <f t="shared" si="48"/>
        <v>2079000</v>
      </c>
      <c r="S574" s="29">
        <v>0.04</v>
      </c>
      <c r="T574" s="44">
        <f t="shared" si="52"/>
        <v>1995840</v>
      </c>
      <c r="U574" s="44">
        <f t="shared" si="53"/>
        <v>686340</v>
      </c>
      <c r="V574" s="44"/>
    </row>
    <row r="575" spans="1:22" ht="14.5" x14ac:dyDescent="0.35">
      <c r="A575" s="47" t="str">
        <f t="shared" si="49"/>
        <v>SBY-IO-E1037-2018</v>
      </c>
      <c r="B575" s="26">
        <v>43405</v>
      </c>
      <c r="C575" s="42">
        <v>2018</v>
      </c>
      <c r="D575" s="27" t="s">
        <v>254</v>
      </c>
      <c r="E575" s="27" t="s">
        <v>41</v>
      </c>
      <c r="F575" s="42" t="str" cm="1">
        <f t="array" ref="F575">_xlfn.IFS(E575="Bandung","BDG",E575="Surabaya","SBY",E575="Jakarta","JKT")</f>
        <v>SBY</v>
      </c>
      <c r="G575" s="27" t="s">
        <v>83</v>
      </c>
      <c r="H575" s="27" t="s">
        <v>339</v>
      </c>
      <c r="I575" s="27" t="s">
        <v>73</v>
      </c>
      <c r="J575" s="26">
        <v>43201</v>
      </c>
      <c r="K575" s="26">
        <v>43408</v>
      </c>
      <c r="L575" s="27">
        <f t="shared" si="50"/>
        <v>3</v>
      </c>
      <c r="M575" s="45">
        <v>61499.999999999993</v>
      </c>
      <c r="N575" s="45">
        <v>139650</v>
      </c>
      <c r="O575" s="27">
        <v>74</v>
      </c>
      <c r="P575" s="46">
        <f t="shared" si="51"/>
        <v>0.55961331901181521</v>
      </c>
      <c r="Q575" s="27">
        <v>26</v>
      </c>
      <c r="R575" s="44">
        <f t="shared" si="48"/>
        <v>3630900</v>
      </c>
      <c r="S575" s="29">
        <v>0.06</v>
      </c>
      <c r="T575" s="44">
        <f t="shared" si="52"/>
        <v>3413046</v>
      </c>
      <c r="U575" s="44">
        <f t="shared" si="53"/>
        <v>1814046.0000000002</v>
      </c>
      <c r="V575" s="44"/>
    </row>
    <row r="576" spans="1:22" ht="14.5" x14ac:dyDescent="0.35">
      <c r="A576" s="47" t="str">
        <f t="shared" si="49"/>
        <v>JKT-IJ-E1029-2016</v>
      </c>
      <c r="B576" s="26">
        <v>42603</v>
      </c>
      <c r="C576" s="42">
        <v>2016</v>
      </c>
      <c r="D576" s="27" t="s">
        <v>121</v>
      </c>
      <c r="E576" s="27" t="s">
        <v>32</v>
      </c>
      <c r="F576" s="42" t="str" cm="1">
        <f t="array" ref="F576">_xlfn.IFS(E576="Bandung","BDG",E576="Surabaya","SBY",E576="Jakarta","JKT")</f>
        <v>JKT</v>
      </c>
      <c r="G576" s="27" t="s">
        <v>37</v>
      </c>
      <c r="H576" s="27" t="s">
        <v>56</v>
      </c>
      <c r="I576" s="27" t="s">
        <v>39</v>
      </c>
      <c r="J576" s="26">
        <v>42605</v>
      </c>
      <c r="K576" s="26">
        <v>42605</v>
      </c>
      <c r="L576" s="27">
        <f t="shared" si="50"/>
        <v>2</v>
      </c>
      <c r="M576" s="45">
        <v>16350.000000000002</v>
      </c>
      <c r="N576" s="45">
        <v>25200</v>
      </c>
      <c r="O576" s="27">
        <v>113</v>
      </c>
      <c r="P576" s="46">
        <f t="shared" si="51"/>
        <v>0.35119047619047611</v>
      </c>
      <c r="Q576" s="27">
        <v>18</v>
      </c>
      <c r="R576" s="44">
        <f t="shared" si="48"/>
        <v>453600</v>
      </c>
      <c r="S576" s="29">
        <v>0.06</v>
      </c>
      <c r="T576" s="44">
        <f t="shared" si="52"/>
        <v>426384</v>
      </c>
      <c r="U576" s="44">
        <f t="shared" si="53"/>
        <v>132083.99999999994</v>
      </c>
      <c r="V576" s="44"/>
    </row>
    <row r="577" spans="1:22" ht="14.5" x14ac:dyDescent="0.35">
      <c r="A577" s="47" t="str">
        <f t="shared" si="49"/>
        <v>SBY-IP-E1038-2017</v>
      </c>
      <c r="B577" s="26">
        <v>42862</v>
      </c>
      <c r="C577" s="42">
        <v>2017</v>
      </c>
      <c r="D577" s="27" t="s">
        <v>351</v>
      </c>
      <c r="E577" s="27" t="s">
        <v>41</v>
      </c>
      <c r="F577" s="42" t="str" cm="1">
        <f t="array" ref="F577">_xlfn.IFS(E577="Bandung","BDG",E577="Surabaya","SBY",E577="Jakarta","JKT")</f>
        <v>SBY</v>
      </c>
      <c r="G577" s="27" t="s">
        <v>98</v>
      </c>
      <c r="H577" s="27" t="s">
        <v>241</v>
      </c>
      <c r="I577" s="27" t="s">
        <v>39</v>
      </c>
      <c r="J577" s="26">
        <v>42864</v>
      </c>
      <c r="K577" s="26">
        <v>42983</v>
      </c>
      <c r="L577" s="27">
        <f t="shared" si="50"/>
        <v>121</v>
      </c>
      <c r="M577" s="45">
        <v>13950</v>
      </c>
      <c r="N577" s="45">
        <v>22200</v>
      </c>
      <c r="O577" s="27">
        <v>73</v>
      </c>
      <c r="P577" s="46">
        <f t="shared" si="51"/>
        <v>0.3716216216216216</v>
      </c>
      <c r="Q577" s="27">
        <v>27</v>
      </c>
      <c r="R577" s="44">
        <f t="shared" si="48"/>
        <v>599400</v>
      </c>
      <c r="S577" s="29">
        <v>0</v>
      </c>
      <c r="T577" s="44">
        <f t="shared" si="52"/>
        <v>599400</v>
      </c>
      <c r="U577" s="44">
        <f t="shared" si="53"/>
        <v>222750</v>
      </c>
      <c r="V577" s="44"/>
    </row>
    <row r="578" spans="1:22" ht="14.5" x14ac:dyDescent="0.35">
      <c r="A578" s="47" t="str">
        <f t="shared" si="49"/>
        <v>SBY-IN-E1031-2019</v>
      </c>
      <c r="B578" s="26">
        <v>43497</v>
      </c>
      <c r="C578" s="42">
        <v>2019</v>
      </c>
      <c r="D578" s="27" t="s">
        <v>635</v>
      </c>
      <c r="E578" s="27" t="s">
        <v>41</v>
      </c>
      <c r="F578" s="42" t="str" cm="1">
        <f t="array" ref="F578">_xlfn.IFS(E578="Bandung","BDG",E578="Surabaya","SBY",E578="Jakarta","JKT")</f>
        <v>SBY</v>
      </c>
      <c r="G578" s="27" t="s">
        <v>48</v>
      </c>
      <c r="H578" s="27" t="s">
        <v>490</v>
      </c>
      <c r="I578" s="27" t="s">
        <v>35</v>
      </c>
      <c r="J578" s="26">
        <v>43587</v>
      </c>
      <c r="K578" s="26">
        <v>43501</v>
      </c>
      <c r="L578" s="27">
        <f t="shared" si="50"/>
        <v>4</v>
      </c>
      <c r="M578" s="45">
        <v>17850</v>
      </c>
      <c r="N578" s="45">
        <v>29700</v>
      </c>
      <c r="O578" s="27">
        <v>7</v>
      </c>
      <c r="P578" s="46">
        <f t="shared" si="51"/>
        <v>0.39898989898989901</v>
      </c>
      <c r="Q578" s="27">
        <v>4</v>
      </c>
      <c r="R578" s="44">
        <f t="shared" si="48"/>
        <v>118800</v>
      </c>
      <c r="S578" s="29">
        <v>0.08</v>
      </c>
      <c r="T578" s="44">
        <f t="shared" si="52"/>
        <v>109296</v>
      </c>
      <c r="U578" s="44">
        <f t="shared" si="53"/>
        <v>37896</v>
      </c>
      <c r="V578" s="44"/>
    </row>
    <row r="579" spans="1:22" ht="14.5" x14ac:dyDescent="0.35">
      <c r="A579" s="47" t="str">
        <f t="shared" si="49"/>
        <v>SBY-IN-E1031-2019</v>
      </c>
      <c r="B579" s="26">
        <v>43611</v>
      </c>
      <c r="C579" s="42">
        <v>2019</v>
      </c>
      <c r="D579" s="27" t="s">
        <v>635</v>
      </c>
      <c r="E579" s="27" t="s">
        <v>41</v>
      </c>
      <c r="F579" s="42" t="str" cm="1">
        <f t="array" ref="F579">_xlfn.IFS(E579="Bandung","BDG",E579="Surabaya","SBY",E579="Jakarta","JKT")</f>
        <v>SBY</v>
      </c>
      <c r="G579" s="27" t="s">
        <v>48</v>
      </c>
      <c r="H579" s="27" t="s">
        <v>54</v>
      </c>
      <c r="I579" s="27" t="s">
        <v>35</v>
      </c>
      <c r="J579" s="26">
        <v>43620</v>
      </c>
      <c r="K579" s="26">
        <v>43561</v>
      </c>
      <c r="L579" s="27">
        <f t="shared" si="50"/>
        <v>-50</v>
      </c>
      <c r="M579" s="45">
        <v>1490850</v>
      </c>
      <c r="N579" s="45">
        <v>2443950</v>
      </c>
      <c r="O579" s="27">
        <v>165</v>
      </c>
      <c r="P579" s="46">
        <f t="shared" si="51"/>
        <v>0.38998342846621248</v>
      </c>
      <c r="Q579" s="27">
        <v>22</v>
      </c>
      <c r="R579" s="44">
        <f t="shared" si="48"/>
        <v>53766900</v>
      </c>
      <c r="S579" s="29">
        <v>7.0000000000000007E-2</v>
      </c>
      <c r="T579" s="44">
        <f t="shared" si="52"/>
        <v>50003217</v>
      </c>
      <c r="U579" s="44">
        <f t="shared" si="53"/>
        <v>17204517</v>
      </c>
      <c r="V579" s="44"/>
    </row>
    <row r="580" spans="1:22" ht="14.5" x14ac:dyDescent="0.35">
      <c r="A580" s="47" t="str">
        <f t="shared" si="49"/>
        <v>SBY-IN-E1031-2019</v>
      </c>
      <c r="B580" s="26">
        <v>43712</v>
      </c>
      <c r="C580" s="42">
        <v>2019</v>
      </c>
      <c r="D580" s="27" t="s">
        <v>635</v>
      </c>
      <c r="E580" s="27" t="s">
        <v>41</v>
      </c>
      <c r="F580" s="42" t="str" cm="1">
        <f t="array" ref="F580">_xlfn.IFS(E580="Bandung","BDG",E580="Surabaya","SBY",E580="Jakarta","JKT")</f>
        <v>SBY</v>
      </c>
      <c r="G580" s="27" t="s">
        <v>48</v>
      </c>
      <c r="H580" s="27" t="s">
        <v>138</v>
      </c>
      <c r="I580" s="27" t="s">
        <v>35</v>
      </c>
      <c r="J580" s="26">
        <v>43594</v>
      </c>
      <c r="K580" s="26">
        <v>43713</v>
      </c>
      <c r="L580" s="27">
        <f t="shared" si="50"/>
        <v>1</v>
      </c>
      <c r="M580" s="45">
        <v>17700</v>
      </c>
      <c r="N580" s="45">
        <v>28200</v>
      </c>
      <c r="O580" s="27">
        <v>208</v>
      </c>
      <c r="P580" s="46">
        <f t="shared" si="51"/>
        <v>0.37234042553191488</v>
      </c>
      <c r="Q580" s="27">
        <v>22</v>
      </c>
      <c r="R580" s="44">
        <f t="shared" ref="R580:R643" si="54">N580*Q580</f>
        <v>620400</v>
      </c>
      <c r="S580" s="29">
        <v>0.09</v>
      </c>
      <c r="T580" s="44">
        <f t="shared" si="52"/>
        <v>564564</v>
      </c>
      <c r="U580" s="44">
        <f t="shared" si="53"/>
        <v>175164</v>
      </c>
      <c r="V580" s="44"/>
    </row>
    <row r="581" spans="1:22" ht="14.5" x14ac:dyDescent="0.35">
      <c r="A581" s="47" t="str">
        <f t="shared" ref="A581:A644" si="55">_xlfn.CONCAT(F581,"-",LEFT(D581,1),MID(D581,FIND(" ",D581)+1,1),"-",G581,"-",C581)</f>
        <v>SBY-IP-E1039-2017</v>
      </c>
      <c r="B581" s="26">
        <v>42847</v>
      </c>
      <c r="C581" s="42">
        <v>2017</v>
      </c>
      <c r="D581" s="27" t="s">
        <v>344</v>
      </c>
      <c r="E581" s="27" t="s">
        <v>41</v>
      </c>
      <c r="F581" s="42" t="str" cm="1">
        <f t="array" ref="F581">_xlfn.IFS(E581="Bandung","BDG",E581="Surabaya","SBY",E581="Jakarta","JKT")</f>
        <v>SBY</v>
      </c>
      <c r="G581" s="27" t="s">
        <v>103</v>
      </c>
      <c r="H581" s="27" t="s">
        <v>123</v>
      </c>
      <c r="I581" s="27" t="s">
        <v>35</v>
      </c>
      <c r="J581" s="26">
        <v>42854</v>
      </c>
      <c r="K581" s="26">
        <v>42854</v>
      </c>
      <c r="L581" s="27">
        <f t="shared" ref="L581:L644" si="56">K581-B581</f>
        <v>7</v>
      </c>
      <c r="M581" s="45">
        <v>208200</v>
      </c>
      <c r="N581" s="45">
        <v>335700</v>
      </c>
      <c r="O581" s="27">
        <v>213</v>
      </c>
      <c r="P581" s="46">
        <f t="shared" ref="P581:P644" si="57">(N581-M581)/N581</f>
        <v>0.37980339588918677</v>
      </c>
      <c r="Q581" s="27">
        <v>21</v>
      </c>
      <c r="R581" s="44">
        <f t="shared" si="54"/>
        <v>7049700</v>
      </c>
      <c r="S581" s="29">
        <v>0.04</v>
      </c>
      <c r="T581" s="44">
        <f t="shared" ref="T581:T644" si="58">R581*(1-S581)</f>
        <v>6767712</v>
      </c>
      <c r="U581" s="44">
        <f t="shared" ref="U581:U644" si="59">T581-(M581*Q581)</f>
        <v>2395512</v>
      </c>
      <c r="V581" s="44"/>
    </row>
    <row r="582" spans="1:22" ht="14.5" x14ac:dyDescent="0.35">
      <c r="A582" s="47" t="str">
        <f t="shared" si="55"/>
        <v>SBY-IP-E1039-2017</v>
      </c>
      <c r="B582" s="26">
        <v>42926</v>
      </c>
      <c r="C582" s="42">
        <v>2017</v>
      </c>
      <c r="D582" s="27" t="s">
        <v>344</v>
      </c>
      <c r="E582" s="27" t="s">
        <v>41</v>
      </c>
      <c r="F582" s="42" t="str" cm="1">
        <f t="array" ref="F582">_xlfn.IFS(E582="Bandung","BDG",E582="Surabaya","SBY",E582="Jakarta","JKT")</f>
        <v>SBY</v>
      </c>
      <c r="G582" s="27" t="s">
        <v>103</v>
      </c>
      <c r="H582" s="27" t="s">
        <v>295</v>
      </c>
      <c r="I582" s="27" t="s">
        <v>35</v>
      </c>
      <c r="J582" s="26">
        <v>43015</v>
      </c>
      <c r="K582" s="26">
        <v>42926</v>
      </c>
      <c r="L582" s="27">
        <f t="shared" si="56"/>
        <v>0</v>
      </c>
      <c r="M582" s="45">
        <v>165600</v>
      </c>
      <c r="N582" s="45">
        <v>254700</v>
      </c>
      <c r="O582" s="27">
        <v>59</v>
      </c>
      <c r="P582" s="46">
        <f t="shared" si="57"/>
        <v>0.34982332155477031</v>
      </c>
      <c r="Q582" s="27">
        <v>31</v>
      </c>
      <c r="R582" s="44">
        <f t="shared" si="54"/>
        <v>7895700</v>
      </c>
      <c r="S582" s="29">
        <v>0.03</v>
      </c>
      <c r="T582" s="44">
        <f t="shared" si="58"/>
        <v>7658829</v>
      </c>
      <c r="U582" s="44">
        <f t="shared" si="59"/>
        <v>2525229</v>
      </c>
      <c r="V582" s="44"/>
    </row>
    <row r="583" spans="1:22" ht="14.5" x14ac:dyDescent="0.35">
      <c r="A583" s="47" t="str">
        <f t="shared" si="55"/>
        <v>SBY-IP-E1039-2019</v>
      </c>
      <c r="B583" s="26">
        <v>43616</v>
      </c>
      <c r="C583" s="42">
        <v>2019</v>
      </c>
      <c r="D583" s="27" t="s">
        <v>344</v>
      </c>
      <c r="E583" s="27" t="s">
        <v>41</v>
      </c>
      <c r="F583" s="42" t="str" cm="1">
        <f t="array" ref="F583">_xlfn.IFS(E583="Bandung","BDG",E583="Surabaya","SBY",E583="Jakarta","JKT")</f>
        <v>SBY</v>
      </c>
      <c r="G583" s="27" t="s">
        <v>103</v>
      </c>
      <c r="H583" s="27" t="s">
        <v>293</v>
      </c>
      <c r="I583" s="27" t="s">
        <v>35</v>
      </c>
      <c r="J583" s="26">
        <v>43471</v>
      </c>
      <c r="K583" s="26">
        <v>43617</v>
      </c>
      <c r="L583" s="27">
        <f t="shared" si="56"/>
        <v>1</v>
      </c>
      <c r="M583" s="45">
        <v>67950</v>
      </c>
      <c r="N583" s="45">
        <v>109500</v>
      </c>
      <c r="O583" s="27">
        <v>215</v>
      </c>
      <c r="P583" s="46">
        <f t="shared" si="57"/>
        <v>0.37945205479452054</v>
      </c>
      <c r="Q583" s="27">
        <v>36</v>
      </c>
      <c r="R583" s="44">
        <f t="shared" si="54"/>
        <v>3942000</v>
      </c>
      <c r="S583" s="29">
        <v>0.1</v>
      </c>
      <c r="T583" s="44">
        <f t="shared" si="58"/>
        <v>3547800</v>
      </c>
      <c r="U583" s="44">
        <f t="shared" si="59"/>
        <v>1101600</v>
      </c>
      <c r="V583" s="44"/>
    </row>
    <row r="584" spans="1:22" ht="14.5" x14ac:dyDescent="0.35">
      <c r="A584" s="47" t="str">
        <f t="shared" si="55"/>
        <v>SBY-II-E1031-2019</v>
      </c>
      <c r="B584" s="26">
        <v>43622</v>
      </c>
      <c r="C584" s="42">
        <v>2019</v>
      </c>
      <c r="D584" s="27" t="s">
        <v>660</v>
      </c>
      <c r="E584" s="27" t="s">
        <v>41</v>
      </c>
      <c r="F584" s="42" t="str" cm="1">
        <f t="array" ref="F584">_xlfn.IFS(E584="Bandung","BDG",E584="Surabaya","SBY",E584="Jakarta","JKT")</f>
        <v>SBY</v>
      </c>
      <c r="G584" s="27" t="s">
        <v>48</v>
      </c>
      <c r="H584" s="27" t="s">
        <v>209</v>
      </c>
      <c r="I584" s="27" t="s">
        <v>46</v>
      </c>
      <c r="J584" s="26">
        <v>43623</v>
      </c>
      <c r="K584" s="26">
        <v>43652</v>
      </c>
      <c r="L584" s="27">
        <f t="shared" si="56"/>
        <v>30</v>
      </c>
      <c r="M584" s="45">
        <v>4184850</v>
      </c>
      <c r="N584" s="45">
        <v>6749850</v>
      </c>
      <c r="O584" s="27">
        <v>192</v>
      </c>
      <c r="P584" s="46">
        <f t="shared" si="57"/>
        <v>0.38000844463210293</v>
      </c>
      <c r="Q584" s="27">
        <v>38</v>
      </c>
      <c r="R584" s="44">
        <f t="shared" si="54"/>
        <v>256494300</v>
      </c>
      <c r="S584" s="29">
        <v>0.01</v>
      </c>
      <c r="T584" s="44">
        <f t="shared" si="58"/>
        <v>253929357</v>
      </c>
      <c r="U584" s="44">
        <f t="shared" si="59"/>
        <v>94905057</v>
      </c>
      <c r="V584" s="44"/>
    </row>
    <row r="585" spans="1:22" ht="14.5" x14ac:dyDescent="0.35">
      <c r="A585" s="47" t="str">
        <f t="shared" si="55"/>
        <v>JKT-IN-E1028-2018</v>
      </c>
      <c r="B585" s="26">
        <v>43287</v>
      </c>
      <c r="C585" s="42">
        <v>2018</v>
      </c>
      <c r="D585" s="27" t="s">
        <v>565</v>
      </c>
      <c r="E585" s="27" t="s">
        <v>32</v>
      </c>
      <c r="F585" s="42" t="str" cm="1">
        <f t="array" ref="F585">_xlfn.IFS(E585="Bandung","BDG",E585="Surabaya","SBY",E585="Jakarta","JKT")</f>
        <v>JKT</v>
      </c>
      <c r="G585" s="27" t="s">
        <v>33</v>
      </c>
      <c r="H585" s="27" t="s">
        <v>87</v>
      </c>
      <c r="I585" s="27" t="s">
        <v>35</v>
      </c>
      <c r="J585" s="26">
        <v>43288</v>
      </c>
      <c r="K585" s="26">
        <v>43288</v>
      </c>
      <c r="L585" s="27">
        <f t="shared" si="56"/>
        <v>1</v>
      </c>
      <c r="M585" s="45">
        <v>52800</v>
      </c>
      <c r="N585" s="45">
        <v>85200</v>
      </c>
      <c r="O585" s="27">
        <v>112</v>
      </c>
      <c r="P585" s="46">
        <f t="shared" si="57"/>
        <v>0.38028169014084506</v>
      </c>
      <c r="Q585" s="27">
        <v>8</v>
      </c>
      <c r="R585" s="44">
        <f t="shared" si="54"/>
        <v>681600</v>
      </c>
      <c r="S585" s="29">
        <v>0.02</v>
      </c>
      <c r="T585" s="44">
        <f t="shared" si="58"/>
        <v>667968</v>
      </c>
      <c r="U585" s="44">
        <f t="shared" si="59"/>
        <v>245568</v>
      </c>
      <c r="V585" s="44"/>
    </row>
    <row r="586" spans="1:22" ht="14.5" x14ac:dyDescent="0.35">
      <c r="A586" s="47" t="str">
        <f t="shared" si="55"/>
        <v>JKT-IN-E1028-2019</v>
      </c>
      <c r="B586" s="26">
        <v>43474</v>
      </c>
      <c r="C586" s="42">
        <v>2019</v>
      </c>
      <c r="D586" s="27" t="s">
        <v>565</v>
      </c>
      <c r="E586" s="27" t="s">
        <v>32</v>
      </c>
      <c r="F586" s="42" t="str" cm="1">
        <f t="array" ref="F586">_xlfn.IFS(E586="Bandung","BDG",E586="Surabaya","SBY",E586="Jakarta","JKT")</f>
        <v>JKT</v>
      </c>
      <c r="G586" s="27" t="s">
        <v>33</v>
      </c>
      <c r="H586" s="27" t="s">
        <v>150</v>
      </c>
      <c r="I586" s="27" t="s">
        <v>35</v>
      </c>
      <c r="J586" s="26">
        <v>43709</v>
      </c>
      <c r="K586" s="26">
        <v>43474</v>
      </c>
      <c r="L586" s="27">
        <f t="shared" si="56"/>
        <v>0</v>
      </c>
      <c r="M586" s="45">
        <v>185850</v>
      </c>
      <c r="N586" s="45">
        <v>299700</v>
      </c>
      <c r="O586" s="27">
        <v>112</v>
      </c>
      <c r="P586" s="46">
        <f t="shared" si="57"/>
        <v>0.37987987987987987</v>
      </c>
      <c r="Q586" s="27">
        <v>34</v>
      </c>
      <c r="R586" s="44">
        <f t="shared" si="54"/>
        <v>10189800</v>
      </c>
      <c r="S586" s="29">
        <v>0.06</v>
      </c>
      <c r="T586" s="44">
        <f t="shared" si="58"/>
        <v>9578412</v>
      </c>
      <c r="U586" s="44">
        <f t="shared" si="59"/>
        <v>3259512</v>
      </c>
      <c r="V586" s="44"/>
    </row>
    <row r="587" spans="1:22" ht="14.5" x14ac:dyDescent="0.35">
      <c r="A587" s="47" t="str">
        <f t="shared" si="55"/>
        <v>SBY-IH-E1030-2017</v>
      </c>
      <c r="B587" s="26">
        <v>42772</v>
      </c>
      <c r="C587" s="42">
        <v>2017</v>
      </c>
      <c r="D587" s="27" t="s">
        <v>294</v>
      </c>
      <c r="E587" s="27" t="s">
        <v>41</v>
      </c>
      <c r="F587" s="42" t="str" cm="1">
        <f t="array" ref="F587">_xlfn.IFS(E587="Bandung","BDG",E587="Surabaya","SBY",E587="Jakarta","JKT")</f>
        <v>SBY</v>
      </c>
      <c r="G587" s="27" t="s">
        <v>42</v>
      </c>
      <c r="H587" s="27" t="s">
        <v>295</v>
      </c>
      <c r="I587" s="27" t="s">
        <v>35</v>
      </c>
      <c r="J587" s="26">
        <v>42949</v>
      </c>
      <c r="K587" s="26">
        <v>42774</v>
      </c>
      <c r="L587" s="27">
        <f t="shared" si="56"/>
        <v>2</v>
      </c>
      <c r="M587" s="45">
        <v>165600</v>
      </c>
      <c r="N587" s="45">
        <v>254700</v>
      </c>
      <c r="O587" s="27">
        <v>28</v>
      </c>
      <c r="P587" s="46">
        <f t="shared" si="57"/>
        <v>0.34982332155477031</v>
      </c>
      <c r="Q587" s="27">
        <v>27</v>
      </c>
      <c r="R587" s="44">
        <f t="shared" si="54"/>
        <v>6876900</v>
      </c>
      <c r="S587" s="29">
        <v>0.1</v>
      </c>
      <c r="T587" s="44">
        <f t="shared" si="58"/>
        <v>6189210</v>
      </c>
      <c r="U587" s="44">
        <f t="shared" si="59"/>
        <v>1718010</v>
      </c>
      <c r="V587" s="44"/>
    </row>
    <row r="588" spans="1:22" ht="14.5" x14ac:dyDescent="0.35">
      <c r="A588" s="47" t="str">
        <f t="shared" si="55"/>
        <v>SBY-IH-E1030-2017</v>
      </c>
      <c r="B588" s="26">
        <v>42817</v>
      </c>
      <c r="C588" s="42">
        <v>2017</v>
      </c>
      <c r="D588" s="27" t="s">
        <v>294</v>
      </c>
      <c r="E588" s="27" t="s">
        <v>41</v>
      </c>
      <c r="F588" s="42" t="str" cm="1">
        <f t="array" ref="F588">_xlfn.IFS(E588="Bandung","BDG",E588="Surabaya","SBY",E588="Jakarta","JKT")</f>
        <v>SBY</v>
      </c>
      <c r="G588" s="27" t="s">
        <v>42</v>
      </c>
      <c r="H588" s="27" t="s">
        <v>204</v>
      </c>
      <c r="I588" s="27" t="s">
        <v>39</v>
      </c>
      <c r="J588" s="26" t="s">
        <v>1599</v>
      </c>
      <c r="K588" s="26">
        <v>42817</v>
      </c>
      <c r="L588" s="27">
        <f t="shared" si="56"/>
        <v>0</v>
      </c>
      <c r="M588" s="45">
        <v>3600</v>
      </c>
      <c r="N588" s="45">
        <v>18900</v>
      </c>
      <c r="O588" s="27">
        <v>157</v>
      </c>
      <c r="P588" s="46">
        <f t="shared" si="57"/>
        <v>0.80952380952380953</v>
      </c>
      <c r="Q588" s="27">
        <v>9</v>
      </c>
      <c r="R588" s="44">
        <f t="shared" si="54"/>
        <v>170100</v>
      </c>
      <c r="S588" s="29">
        <v>0.06</v>
      </c>
      <c r="T588" s="44">
        <f t="shared" si="58"/>
        <v>159894</v>
      </c>
      <c r="U588" s="44">
        <f t="shared" si="59"/>
        <v>127494</v>
      </c>
      <c r="V588" s="44"/>
    </row>
    <row r="589" spans="1:22" ht="14.5" x14ac:dyDescent="0.35">
      <c r="A589" s="47" t="str">
        <f t="shared" si="55"/>
        <v>SBY-IH-E1030-2018</v>
      </c>
      <c r="B589" s="26">
        <v>43440</v>
      </c>
      <c r="C589" s="42">
        <v>2018</v>
      </c>
      <c r="D589" s="27" t="s">
        <v>294</v>
      </c>
      <c r="E589" s="27" t="s">
        <v>41</v>
      </c>
      <c r="F589" s="42" t="str" cm="1">
        <f t="array" ref="F589">_xlfn.IFS(E589="Bandung","BDG",E589="Surabaya","SBY",E589="Jakarta","JKT")</f>
        <v>SBY</v>
      </c>
      <c r="G589" s="27" t="s">
        <v>42</v>
      </c>
      <c r="H589" s="27" t="s">
        <v>298</v>
      </c>
      <c r="I589" s="27" t="s">
        <v>73</v>
      </c>
      <c r="J589" s="26">
        <v>43324</v>
      </c>
      <c r="K589" s="26">
        <v>43442</v>
      </c>
      <c r="L589" s="27">
        <f t="shared" si="56"/>
        <v>2</v>
      </c>
      <c r="M589" s="45">
        <v>252000</v>
      </c>
      <c r="N589" s="45">
        <v>614550</v>
      </c>
      <c r="O589" s="27">
        <v>124</v>
      </c>
      <c r="P589" s="46">
        <f t="shared" si="57"/>
        <v>0.58994386136197219</v>
      </c>
      <c r="Q589" s="27">
        <v>28</v>
      </c>
      <c r="R589" s="44">
        <f t="shared" si="54"/>
        <v>17207400</v>
      </c>
      <c r="S589" s="29">
        <v>0.04</v>
      </c>
      <c r="T589" s="44">
        <f t="shared" si="58"/>
        <v>16519104</v>
      </c>
      <c r="U589" s="44">
        <f t="shared" si="59"/>
        <v>9463104</v>
      </c>
      <c r="V589" s="44"/>
    </row>
    <row r="590" spans="1:22" ht="14.5" x14ac:dyDescent="0.35">
      <c r="A590" s="47" t="str">
        <f t="shared" si="55"/>
        <v>SBY-IH-E1030-2020</v>
      </c>
      <c r="B590" s="26">
        <v>43834</v>
      </c>
      <c r="C590" s="42">
        <v>2020</v>
      </c>
      <c r="D590" s="27" t="s">
        <v>294</v>
      </c>
      <c r="E590" s="27" t="s">
        <v>41</v>
      </c>
      <c r="F590" s="42" t="str" cm="1">
        <f t="array" ref="F590">_xlfn.IFS(E590="Bandung","BDG",E590="Surabaya","SBY",E590="Jakarta","JKT")</f>
        <v>SBY</v>
      </c>
      <c r="G590" s="27" t="s">
        <v>42</v>
      </c>
      <c r="H590" s="27" t="s">
        <v>256</v>
      </c>
      <c r="I590" s="27" t="s">
        <v>35</v>
      </c>
      <c r="J590" s="26">
        <v>43922</v>
      </c>
      <c r="K590" s="26">
        <v>43834</v>
      </c>
      <c r="L590" s="27">
        <f t="shared" si="56"/>
        <v>0</v>
      </c>
      <c r="M590" s="45">
        <v>36750</v>
      </c>
      <c r="N590" s="45">
        <v>58350</v>
      </c>
      <c r="O590" s="27">
        <v>131</v>
      </c>
      <c r="P590" s="46">
        <f t="shared" si="57"/>
        <v>0.37017994858611825</v>
      </c>
      <c r="Q590" s="27">
        <v>50</v>
      </c>
      <c r="R590" s="44">
        <f t="shared" si="54"/>
        <v>2917500</v>
      </c>
      <c r="S590" s="29">
        <v>0.08</v>
      </c>
      <c r="T590" s="44">
        <f t="shared" si="58"/>
        <v>2684100</v>
      </c>
      <c r="U590" s="44">
        <f t="shared" si="59"/>
        <v>846600</v>
      </c>
      <c r="V590" s="44"/>
    </row>
    <row r="591" spans="1:22" ht="14.5" x14ac:dyDescent="0.35">
      <c r="A591" s="47" t="str">
        <f t="shared" si="55"/>
        <v>SBY-IH-E1030-2020</v>
      </c>
      <c r="B591" s="26">
        <v>43886</v>
      </c>
      <c r="C591" s="42">
        <v>2020</v>
      </c>
      <c r="D591" s="27" t="s">
        <v>294</v>
      </c>
      <c r="E591" s="27" t="s">
        <v>41</v>
      </c>
      <c r="F591" s="42" t="str" cm="1">
        <f t="array" ref="F591">_xlfn.IFS(E591="Bandung","BDG",E591="Surabaya","SBY",E591="Jakarta","JKT")</f>
        <v>SBY</v>
      </c>
      <c r="G591" s="27" t="s">
        <v>42</v>
      </c>
      <c r="H591" s="27" t="s">
        <v>171</v>
      </c>
      <c r="I591" s="27" t="s">
        <v>35</v>
      </c>
      <c r="J591" s="26" t="s">
        <v>1776</v>
      </c>
      <c r="K591" s="26">
        <v>43886</v>
      </c>
      <c r="L591" s="27">
        <f t="shared" si="56"/>
        <v>0</v>
      </c>
      <c r="M591" s="45">
        <v>297450</v>
      </c>
      <c r="N591" s="45">
        <v>464700</v>
      </c>
      <c r="O591" s="27">
        <v>110</v>
      </c>
      <c r="P591" s="46">
        <f t="shared" si="57"/>
        <v>0.35990961910910263</v>
      </c>
      <c r="Q591" s="27">
        <v>15</v>
      </c>
      <c r="R591" s="44">
        <f t="shared" si="54"/>
        <v>6970500</v>
      </c>
      <c r="S591" s="29">
        <v>0</v>
      </c>
      <c r="T591" s="44">
        <f t="shared" si="58"/>
        <v>6970500</v>
      </c>
      <c r="U591" s="44">
        <f t="shared" si="59"/>
        <v>2508750</v>
      </c>
      <c r="V591" s="44"/>
    </row>
    <row r="592" spans="1:22" ht="14.5" x14ac:dyDescent="0.35">
      <c r="A592" s="47" t="str">
        <f t="shared" si="55"/>
        <v>SBY-IJ-E1037-2016</v>
      </c>
      <c r="B592" s="26">
        <v>42729</v>
      </c>
      <c r="C592" s="42">
        <v>2016</v>
      </c>
      <c r="D592" s="27" t="s">
        <v>265</v>
      </c>
      <c r="E592" s="27" t="s">
        <v>41</v>
      </c>
      <c r="F592" s="42" t="str" cm="1">
        <f t="array" ref="F592">_xlfn.IFS(E592="Bandung","BDG",E592="Surabaya","SBY",E592="Jakarta","JKT")</f>
        <v>SBY</v>
      </c>
      <c r="G592" s="27" t="s">
        <v>83</v>
      </c>
      <c r="H592" s="27" t="s">
        <v>63</v>
      </c>
      <c r="I592" s="27" t="s">
        <v>35</v>
      </c>
      <c r="J592" s="26" t="s">
        <v>1587</v>
      </c>
      <c r="K592" s="26">
        <v>42732</v>
      </c>
      <c r="L592" s="27">
        <f t="shared" si="56"/>
        <v>3</v>
      </c>
      <c r="M592" s="45">
        <v>73350</v>
      </c>
      <c r="N592" s="45">
        <v>114600</v>
      </c>
      <c r="O592" s="27">
        <v>44</v>
      </c>
      <c r="P592" s="46">
        <f t="shared" si="57"/>
        <v>0.3599476439790576</v>
      </c>
      <c r="Q592" s="27">
        <v>44</v>
      </c>
      <c r="R592" s="44">
        <f t="shared" si="54"/>
        <v>5042400</v>
      </c>
      <c r="S592" s="29">
        <v>0.01</v>
      </c>
      <c r="T592" s="44">
        <f t="shared" si="58"/>
        <v>4991976</v>
      </c>
      <c r="U592" s="44">
        <f t="shared" si="59"/>
        <v>1764576</v>
      </c>
      <c r="V592" s="44"/>
    </row>
    <row r="593" spans="1:22" ht="14.5" x14ac:dyDescent="0.35">
      <c r="A593" s="47" t="str">
        <f t="shared" si="55"/>
        <v>SBY-IJ-E1037-2018</v>
      </c>
      <c r="B593" s="26">
        <v>43211</v>
      </c>
      <c r="C593" s="42">
        <v>2018</v>
      </c>
      <c r="D593" s="27" t="s">
        <v>265</v>
      </c>
      <c r="E593" s="27" t="s">
        <v>41</v>
      </c>
      <c r="F593" s="42" t="str" cm="1">
        <f t="array" ref="F593">_xlfn.IFS(E593="Bandung","BDG",E593="Surabaya","SBY",E593="Jakarta","JKT")</f>
        <v>SBY</v>
      </c>
      <c r="G593" s="27" t="s">
        <v>83</v>
      </c>
      <c r="H593" s="27" t="s">
        <v>216</v>
      </c>
      <c r="I593" s="27" t="s">
        <v>35</v>
      </c>
      <c r="J593" s="26">
        <v>43213</v>
      </c>
      <c r="K593" s="26">
        <v>43213</v>
      </c>
      <c r="L593" s="27">
        <f t="shared" si="56"/>
        <v>2</v>
      </c>
      <c r="M593" s="45">
        <v>66900</v>
      </c>
      <c r="N593" s="45">
        <v>163350</v>
      </c>
      <c r="O593" s="27">
        <v>100</v>
      </c>
      <c r="P593" s="46">
        <f t="shared" si="57"/>
        <v>0.59044995408631773</v>
      </c>
      <c r="Q593" s="27">
        <v>37</v>
      </c>
      <c r="R593" s="44">
        <f t="shared" si="54"/>
        <v>6043950</v>
      </c>
      <c r="S593" s="29">
        <v>0</v>
      </c>
      <c r="T593" s="44">
        <f t="shared" si="58"/>
        <v>6043950</v>
      </c>
      <c r="U593" s="44">
        <f t="shared" si="59"/>
        <v>3568650</v>
      </c>
      <c r="V593" s="44"/>
    </row>
    <row r="594" spans="1:22" ht="14.5" x14ac:dyDescent="0.35">
      <c r="A594" s="47" t="str">
        <f t="shared" si="55"/>
        <v>SBY-IW-E1040-2018</v>
      </c>
      <c r="B594" s="26">
        <v>43426</v>
      </c>
      <c r="C594" s="42">
        <v>2018</v>
      </c>
      <c r="D594" s="27" t="s">
        <v>616</v>
      </c>
      <c r="E594" s="27" t="s">
        <v>41</v>
      </c>
      <c r="F594" s="42" t="str" cm="1">
        <f t="array" ref="F594">_xlfn.IFS(E594="Bandung","BDG",E594="Surabaya","SBY",E594="Jakarta","JKT")</f>
        <v>SBY</v>
      </c>
      <c r="G594" s="27" t="s">
        <v>160</v>
      </c>
      <c r="H594" s="27" t="s">
        <v>339</v>
      </c>
      <c r="I594" s="27" t="s">
        <v>73</v>
      </c>
      <c r="J594" s="26">
        <v>43429</v>
      </c>
      <c r="K594" s="26">
        <v>43429</v>
      </c>
      <c r="L594" s="27">
        <f t="shared" si="56"/>
        <v>3</v>
      </c>
      <c r="M594" s="45">
        <v>61499.999999999993</v>
      </c>
      <c r="N594" s="45">
        <v>139650</v>
      </c>
      <c r="O594" s="27">
        <v>48</v>
      </c>
      <c r="P594" s="46">
        <f t="shared" si="57"/>
        <v>0.55961331901181521</v>
      </c>
      <c r="Q594" s="27">
        <v>30</v>
      </c>
      <c r="R594" s="44">
        <f t="shared" si="54"/>
        <v>4189500</v>
      </c>
      <c r="S594" s="29">
        <v>0.03</v>
      </c>
      <c r="T594" s="44">
        <f t="shared" si="58"/>
        <v>4063815</v>
      </c>
      <c r="U594" s="44">
        <f t="shared" si="59"/>
        <v>2218815</v>
      </c>
      <c r="V594" s="44"/>
    </row>
    <row r="595" spans="1:22" ht="14.5" x14ac:dyDescent="0.35">
      <c r="A595" s="47" t="str">
        <f t="shared" si="55"/>
        <v>SBY-IW-E1040-2018</v>
      </c>
      <c r="B595" s="26">
        <v>43426</v>
      </c>
      <c r="C595" s="42">
        <v>2018</v>
      </c>
      <c r="D595" s="27" t="s">
        <v>616</v>
      </c>
      <c r="E595" s="27" t="s">
        <v>41</v>
      </c>
      <c r="F595" s="42" t="str" cm="1">
        <f t="array" ref="F595">_xlfn.IFS(E595="Bandung","BDG",E595="Surabaya","SBY",E595="Jakarta","JKT")</f>
        <v>SBY</v>
      </c>
      <c r="G595" s="27" t="s">
        <v>160</v>
      </c>
      <c r="H595" s="27" t="s">
        <v>418</v>
      </c>
      <c r="I595" s="27" t="s">
        <v>35</v>
      </c>
      <c r="J595" s="26">
        <v>43427</v>
      </c>
      <c r="K595" s="26">
        <v>43427</v>
      </c>
      <c r="L595" s="27">
        <f t="shared" si="56"/>
        <v>1</v>
      </c>
      <c r="M595" s="45">
        <v>41400</v>
      </c>
      <c r="N595" s="45">
        <v>65700</v>
      </c>
      <c r="O595" s="27">
        <v>24</v>
      </c>
      <c r="P595" s="46">
        <f t="shared" si="57"/>
        <v>0.36986301369863012</v>
      </c>
      <c r="Q595" s="27">
        <v>24</v>
      </c>
      <c r="R595" s="44">
        <f t="shared" si="54"/>
        <v>1576800</v>
      </c>
      <c r="S595" s="29">
        <v>0.02</v>
      </c>
      <c r="T595" s="44">
        <f t="shared" si="58"/>
        <v>1545264</v>
      </c>
      <c r="U595" s="44">
        <f t="shared" si="59"/>
        <v>551664</v>
      </c>
      <c r="V595" s="44"/>
    </row>
    <row r="596" spans="1:22" ht="14.5" x14ac:dyDescent="0.35">
      <c r="A596" s="47" t="str">
        <f t="shared" si="55"/>
        <v>SBY-IW-E1040-2019</v>
      </c>
      <c r="B596" s="26">
        <v>43519</v>
      </c>
      <c r="C596" s="42">
        <v>2019</v>
      </c>
      <c r="D596" s="27" t="s">
        <v>616</v>
      </c>
      <c r="E596" s="27" t="s">
        <v>41</v>
      </c>
      <c r="F596" s="42" t="str" cm="1">
        <f t="array" ref="F596">_xlfn.IFS(E596="Bandung","BDG",E596="Surabaya","SBY",E596="Jakarta","JKT")</f>
        <v>SBY</v>
      </c>
      <c r="G596" s="27" t="s">
        <v>160</v>
      </c>
      <c r="H596" s="27" t="s">
        <v>96</v>
      </c>
      <c r="I596" s="27" t="s">
        <v>35</v>
      </c>
      <c r="J596" s="26" t="s">
        <v>1721</v>
      </c>
      <c r="K596" s="26">
        <v>43521</v>
      </c>
      <c r="L596" s="27">
        <f t="shared" si="56"/>
        <v>2</v>
      </c>
      <c r="M596" s="45">
        <v>23850</v>
      </c>
      <c r="N596" s="45">
        <v>39150</v>
      </c>
      <c r="O596" s="27">
        <v>86</v>
      </c>
      <c r="P596" s="46">
        <f t="shared" si="57"/>
        <v>0.39080459770114945</v>
      </c>
      <c r="Q596" s="27">
        <v>40</v>
      </c>
      <c r="R596" s="44">
        <f t="shared" si="54"/>
        <v>1566000</v>
      </c>
      <c r="S596" s="29">
        <v>0.03</v>
      </c>
      <c r="T596" s="44">
        <f t="shared" si="58"/>
        <v>1519020</v>
      </c>
      <c r="U596" s="44">
        <f t="shared" si="59"/>
        <v>565020</v>
      </c>
      <c r="V596" s="44"/>
    </row>
    <row r="597" spans="1:22" ht="14.5" x14ac:dyDescent="0.35">
      <c r="A597" s="47" t="str">
        <f t="shared" si="55"/>
        <v>SBY-IW-E1040-2020</v>
      </c>
      <c r="B597" s="26">
        <v>43831</v>
      </c>
      <c r="C597" s="42">
        <v>2020</v>
      </c>
      <c r="D597" s="27" t="s">
        <v>616</v>
      </c>
      <c r="E597" s="27" t="s">
        <v>41</v>
      </c>
      <c r="F597" s="42" t="str" cm="1">
        <f t="array" ref="F597">_xlfn.IFS(E597="Bandung","BDG",E597="Surabaya","SBY",E597="Jakarta","JKT")</f>
        <v>SBY</v>
      </c>
      <c r="G597" s="27" t="s">
        <v>160</v>
      </c>
      <c r="H597" s="27" t="s">
        <v>243</v>
      </c>
      <c r="I597" s="27" t="s">
        <v>35</v>
      </c>
      <c r="J597" s="26">
        <v>43862</v>
      </c>
      <c r="K597" s="26">
        <v>43832</v>
      </c>
      <c r="L597" s="27">
        <f t="shared" si="56"/>
        <v>1</v>
      </c>
      <c r="M597" s="45">
        <v>1015950.0000000001</v>
      </c>
      <c r="N597" s="45">
        <v>2478000</v>
      </c>
      <c r="O597" s="27">
        <v>148</v>
      </c>
      <c r="P597" s="46">
        <f t="shared" si="57"/>
        <v>0.59001210653753022</v>
      </c>
      <c r="Q597" s="27">
        <v>10</v>
      </c>
      <c r="R597" s="44">
        <f t="shared" si="54"/>
        <v>24780000</v>
      </c>
      <c r="S597" s="29">
        <v>0.08</v>
      </c>
      <c r="T597" s="44">
        <f t="shared" si="58"/>
        <v>22797600</v>
      </c>
      <c r="U597" s="44">
        <f t="shared" si="59"/>
        <v>12638099.999999998</v>
      </c>
      <c r="V597" s="44"/>
    </row>
    <row r="598" spans="1:22" ht="14.5" x14ac:dyDescent="0.35">
      <c r="A598" s="47" t="str">
        <f t="shared" si="55"/>
        <v>SBY-IW-E1040-2020</v>
      </c>
      <c r="B598" s="26">
        <v>43831</v>
      </c>
      <c r="C598" s="42">
        <v>2020</v>
      </c>
      <c r="D598" s="27" t="s">
        <v>616</v>
      </c>
      <c r="E598" s="27" t="s">
        <v>41</v>
      </c>
      <c r="F598" s="42" t="str" cm="1">
        <f t="array" ref="F598">_xlfn.IFS(E598="Bandung","BDG",E598="Surabaya","SBY",E598="Jakarta","JKT")</f>
        <v>SBY</v>
      </c>
      <c r="G598" s="27" t="s">
        <v>160</v>
      </c>
      <c r="H598" s="27" t="s">
        <v>61</v>
      </c>
      <c r="I598" s="27" t="s">
        <v>35</v>
      </c>
      <c r="J598" s="26">
        <v>43833</v>
      </c>
      <c r="K598" s="26">
        <v>43891</v>
      </c>
      <c r="L598" s="27">
        <f t="shared" si="56"/>
        <v>60</v>
      </c>
      <c r="M598" s="45">
        <v>79950</v>
      </c>
      <c r="N598" s="45">
        <v>129000</v>
      </c>
      <c r="O598" s="27">
        <v>87</v>
      </c>
      <c r="P598" s="46">
        <f t="shared" si="57"/>
        <v>0.38023255813953488</v>
      </c>
      <c r="Q598" s="27">
        <v>2</v>
      </c>
      <c r="R598" s="44">
        <f t="shared" si="54"/>
        <v>258000</v>
      </c>
      <c r="S598" s="29">
        <v>0.03</v>
      </c>
      <c r="T598" s="44">
        <f t="shared" si="58"/>
        <v>250260</v>
      </c>
      <c r="U598" s="44">
        <f t="shared" si="59"/>
        <v>90360</v>
      </c>
      <c r="V598" s="44"/>
    </row>
    <row r="599" spans="1:22" ht="14.5" x14ac:dyDescent="0.35">
      <c r="A599" s="47" t="str">
        <f t="shared" si="55"/>
        <v>JKT-IM-E1029-2019</v>
      </c>
      <c r="B599" s="26">
        <v>43492</v>
      </c>
      <c r="C599" s="42">
        <v>2019</v>
      </c>
      <c r="D599" s="27" t="s">
        <v>634</v>
      </c>
      <c r="E599" s="27" t="s">
        <v>32</v>
      </c>
      <c r="F599" s="42" t="str" cm="1">
        <f t="array" ref="F599">_xlfn.IFS(E599="Bandung","BDG",E599="Surabaya","SBY",E599="Jakarta","JKT")</f>
        <v>JKT</v>
      </c>
      <c r="G599" s="27" t="s">
        <v>37</v>
      </c>
      <c r="H599" s="27" t="s">
        <v>180</v>
      </c>
      <c r="I599" s="27" t="s">
        <v>35</v>
      </c>
      <c r="J599" s="26" t="s">
        <v>1718</v>
      </c>
      <c r="K599" s="26">
        <v>43493</v>
      </c>
      <c r="L599" s="27">
        <f t="shared" si="56"/>
        <v>1</v>
      </c>
      <c r="M599" s="45">
        <v>51000</v>
      </c>
      <c r="N599" s="45">
        <v>81000</v>
      </c>
      <c r="O599" s="27">
        <v>154</v>
      </c>
      <c r="P599" s="46">
        <f t="shared" si="57"/>
        <v>0.37037037037037035</v>
      </c>
      <c r="Q599" s="27">
        <v>8</v>
      </c>
      <c r="R599" s="44">
        <f t="shared" si="54"/>
        <v>648000</v>
      </c>
      <c r="S599" s="29">
        <v>0</v>
      </c>
      <c r="T599" s="44">
        <f t="shared" si="58"/>
        <v>648000</v>
      </c>
      <c r="U599" s="44">
        <f t="shared" si="59"/>
        <v>240000</v>
      </c>
      <c r="V599" s="44"/>
    </row>
    <row r="600" spans="1:22" ht="14.5" x14ac:dyDescent="0.35">
      <c r="A600" s="47" t="str">
        <f t="shared" si="55"/>
        <v>SBY-IH-E1036-2018</v>
      </c>
      <c r="B600" s="26">
        <v>43380</v>
      </c>
      <c r="C600" s="42">
        <v>2018</v>
      </c>
      <c r="D600" s="27" t="s">
        <v>597</v>
      </c>
      <c r="E600" s="27" t="s">
        <v>41</v>
      </c>
      <c r="F600" s="42" t="str" cm="1">
        <f t="array" ref="F600">_xlfn.IFS(E600="Bandung","BDG",E600="Surabaya","SBY",E600="Jakarta","JKT")</f>
        <v>SBY</v>
      </c>
      <c r="G600" s="27" t="s">
        <v>78</v>
      </c>
      <c r="H600" s="27" t="s">
        <v>138</v>
      </c>
      <c r="I600" s="27" t="s">
        <v>35</v>
      </c>
      <c r="J600" s="26">
        <v>43381</v>
      </c>
      <c r="K600" s="26">
        <v>43322</v>
      </c>
      <c r="L600" s="27">
        <f t="shared" si="56"/>
        <v>-58</v>
      </c>
      <c r="M600" s="45">
        <v>17700</v>
      </c>
      <c r="N600" s="45">
        <v>28200</v>
      </c>
      <c r="O600" s="27">
        <v>186</v>
      </c>
      <c r="P600" s="46">
        <f t="shared" si="57"/>
        <v>0.37234042553191488</v>
      </c>
      <c r="Q600" s="27">
        <v>5</v>
      </c>
      <c r="R600" s="44">
        <f t="shared" si="54"/>
        <v>141000</v>
      </c>
      <c r="S600" s="29">
        <v>0.08</v>
      </c>
      <c r="T600" s="44">
        <f t="shared" si="58"/>
        <v>129720</v>
      </c>
      <c r="U600" s="44">
        <f t="shared" si="59"/>
        <v>41220</v>
      </c>
      <c r="V600" s="44"/>
    </row>
    <row r="601" spans="1:22" ht="14.5" x14ac:dyDescent="0.35">
      <c r="A601" s="47" t="str">
        <f t="shared" si="55"/>
        <v>SBY-IH-E1039-2016</v>
      </c>
      <c r="B601" s="26">
        <v>42635</v>
      </c>
      <c r="C601" s="42">
        <v>2016</v>
      </c>
      <c r="D601" s="27" t="s">
        <v>169</v>
      </c>
      <c r="E601" s="27" t="s">
        <v>41</v>
      </c>
      <c r="F601" s="42" t="str" cm="1">
        <f t="array" ref="F601">_xlfn.IFS(E601="Bandung","BDG",E601="Surabaya","SBY",E601="Jakarta","JKT")</f>
        <v>SBY</v>
      </c>
      <c r="G601" s="27" t="s">
        <v>103</v>
      </c>
      <c r="H601" s="27" t="s">
        <v>92</v>
      </c>
      <c r="I601" s="27" t="s">
        <v>39</v>
      </c>
      <c r="J601" s="26">
        <v>42637</v>
      </c>
      <c r="K601" s="26">
        <v>42637</v>
      </c>
      <c r="L601" s="27">
        <f t="shared" si="56"/>
        <v>2</v>
      </c>
      <c r="M601" s="45">
        <v>37800</v>
      </c>
      <c r="N601" s="45">
        <v>60000</v>
      </c>
      <c r="O601" s="27">
        <v>122</v>
      </c>
      <c r="P601" s="46">
        <f t="shared" si="57"/>
        <v>0.37</v>
      </c>
      <c r="Q601" s="27">
        <v>39</v>
      </c>
      <c r="R601" s="44">
        <f t="shared" si="54"/>
        <v>2340000</v>
      </c>
      <c r="S601" s="29">
        <v>0.08</v>
      </c>
      <c r="T601" s="44">
        <f t="shared" si="58"/>
        <v>2152800</v>
      </c>
      <c r="U601" s="44">
        <f t="shared" si="59"/>
        <v>678600</v>
      </c>
      <c r="V601" s="44"/>
    </row>
    <row r="602" spans="1:22" ht="14.5" x14ac:dyDescent="0.35">
      <c r="A602" s="47" t="str">
        <f t="shared" si="55"/>
        <v>SBY-IH-E1039-2017</v>
      </c>
      <c r="B602" s="26">
        <v>43015</v>
      </c>
      <c r="C602" s="42">
        <v>2017</v>
      </c>
      <c r="D602" s="27" t="s">
        <v>169</v>
      </c>
      <c r="E602" s="27" t="s">
        <v>41</v>
      </c>
      <c r="F602" s="42" t="str" cm="1">
        <f t="array" ref="F602">_xlfn.IFS(E602="Bandung","BDG",E602="Surabaya","SBY",E602="Jakarta","JKT")</f>
        <v>SBY</v>
      </c>
      <c r="G602" s="27" t="s">
        <v>103</v>
      </c>
      <c r="H602" s="27" t="s">
        <v>298</v>
      </c>
      <c r="I602" s="27" t="s">
        <v>73</v>
      </c>
      <c r="J602" s="26">
        <v>43015</v>
      </c>
      <c r="K602" s="26">
        <v>42926</v>
      </c>
      <c r="L602" s="27">
        <f t="shared" si="56"/>
        <v>-89</v>
      </c>
      <c r="M602" s="45">
        <v>252000</v>
      </c>
      <c r="N602" s="45">
        <v>614550</v>
      </c>
      <c r="O602" s="27">
        <v>96</v>
      </c>
      <c r="P602" s="46">
        <f t="shared" si="57"/>
        <v>0.58994386136197219</v>
      </c>
      <c r="Q602" s="27">
        <v>47</v>
      </c>
      <c r="R602" s="44">
        <f t="shared" si="54"/>
        <v>28883850</v>
      </c>
      <c r="S602" s="29">
        <v>0.06</v>
      </c>
      <c r="T602" s="44">
        <f t="shared" si="58"/>
        <v>27150819</v>
      </c>
      <c r="U602" s="44">
        <f t="shared" si="59"/>
        <v>15306819</v>
      </c>
      <c r="V602" s="44"/>
    </row>
    <row r="603" spans="1:22" ht="14.5" x14ac:dyDescent="0.35">
      <c r="A603" s="47" t="str">
        <f t="shared" si="55"/>
        <v>JKT-IY-E1028-2019</v>
      </c>
      <c r="B603" s="26">
        <v>43523</v>
      </c>
      <c r="C603" s="42">
        <v>2019</v>
      </c>
      <c r="D603" s="27" t="s">
        <v>641</v>
      </c>
      <c r="E603" s="27" t="s">
        <v>32</v>
      </c>
      <c r="F603" s="42" t="str" cm="1">
        <f t="array" ref="F603">_xlfn.IFS(E603="Bandung","BDG",E603="Surabaya","SBY",E603="Jakarta","JKT")</f>
        <v>JKT</v>
      </c>
      <c r="G603" s="27" t="s">
        <v>33</v>
      </c>
      <c r="H603" s="27" t="s">
        <v>642</v>
      </c>
      <c r="I603" s="27" t="s">
        <v>39</v>
      </c>
      <c r="J603" s="26">
        <v>43680</v>
      </c>
      <c r="K603" s="26">
        <v>43532</v>
      </c>
      <c r="L603" s="27">
        <f t="shared" si="56"/>
        <v>9</v>
      </c>
      <c r="M603" s="45">
        <v>59250</v>
      </c>
      <c r="N603" s="45">
        <v>91200</v>
      </c>
      <c r="O603" s="27">
        <v>133</v>
      </c>
      <c r="P603" s="46">
        <f t="shared" si="57"/>
        <v>0.35032894736842107</v>
      </c>
      <c r="Q603" s="27">
        <v>41</v>
      </c>
      <c r="R603" s="44">
        <f t="shared" si="54"/>
        <v>3739200</v>
      </c>
      <c r="S603" s="29">
        <v>0.03</v>
      </c>
      <c r="T603" s="44">
        <f t="shared" si="58"/>
        <v>3627024</v>
      </c>
      <c r="U603" s="44">
        <f t="shared" si="59"/>
        <v>1197774</v>
      </c>
      <c r="V603" s="44"/>
    </row>
    <row r="604" spans="1:22" ht="14.5" x14ac:dyDescent="0.35">
      <c r="A604" s="47" t="str">
        <f t="shared" si="55"/>
        <v>JKT-IW-E1029-2016</v>
      </c>
      <c r="B604" s="26">
        <v>42659</v>
      </c>
      <c r="C604" s="42">
        <v>2016</v>
      </c>
      <c r="D604" s="27" t="s">
        <v>194</v>
      </c>
      <c r="E604" s="27" t="s">
        <v>32</v>
      </c>
      <c r="F604" s="42" t="str" cm="1">
        <f t="array" ref="F604">_xlfn.IFS(E604="Bandung","BDG",E604="Surabaya","SBY",E604="Jakarta","JKT")</f>
        <v>JKT</v>
      </c>
      <c r="G604" s="27" t="s">
        <v>37</v>
      </c>
      <c r="H604" s="27" t="s">
        <v>178</v>
      </c>
      <c r="I604" s="27" t="s">
        <v>39</v>
      </c>
      <c r="J604" s="26">
        <v>42660</v>
      </c>
      <c r="K604" s="26">
        <v>42660</v>
      </c>
      <c r="L604" s="27">
        <f t="shared" si="56"/>
        <v>1</v>
      </c>
      <c r="M604" s="45">
        <v>24000</v>
      </c>
      <c r="N604" s="45">
        <v>39300</v>
      </c>
      <c r="O604" s="27">
        <v>163</v>
      </c>
      <c r="P604" s="46">
        <f t="shared" si="57"/>
        <v>0.38931297709923662</v>
      </c>
      <c r="Q604" s="27">
        <v>21</v>
      </c>
      <c r="R604" s="44">
        <f t="shared" si="54"/>
        <v>825300</v>
      </c>
      <c r="S604" s="29">
        <v>0.05</v>
      </c>
      <c r="T604" s="44">
        <f t="shared" si="58"/>
        <v>784035</v>
      </c>
      <c r="U604" s="44">
        <f t="shared" si="59"/>
        <v>280035</v>
      </c>
      <c r="V604" s="44"/>
    </row>
    <row r="605" spans="1:22" ht="14.5" x14ac:dyDescent="0.35">
      <c r="A605" s="47" t="str">
        <f t="shared" si="55"/>
        <v>JKT-IW-E1029-2017</v>
      </c>
      <c r="B605" s="26">
        <v>43062</v>
      </c>
      <c r="C605" s="42">
        <v>2017</v>
      </c>
      <c r="D605" s="27" t="s">
        <v>194</v>
      </c>
      <c r="E605" s="27" t="s">
        <v>32</v>
      </c>
      <c r="F605" s="42" t="str" cm="1">
        <f t="array" ref="F605">_xlfn.IFS(E605="Bandung","BDG",E605="Surabaya","SBY",E605="Jakarta","JKT")</f>
        <v>JKT</v>
      </c>
      <c r="G605" s="27" t="s">
        <v>37</v>
      </c>
      <c r="H605" s="27" t="s">
        <v>125</v>
      </c>
      <c r="I605" s="27" t="s">
        <v>39</v>
      </c>
      <c r="J605" s="26" t="s">
        <v>1643</v>
      </c>
      <c r="K605" s="26">
        <v>43065</v>
      </c>
      <c r="L605" s="27">
        <f t="shared" si="56"/>
        <v>3</v>
      </c>
      <c r="M605" s="45">
        <v>323400</v>
      </c>
      <c r="N605" s="45">
        <v>548250</v>
      </c>
      <c r="O605" s="27">
        <v>114</v>
      </c>
      <c r="P605" s="46">
        <f t="shared" si="57"/>
        <v>0.41012311901504789</v>
      </c>
      <c r="Q605" s="27">
        <v>24</v>
      </c>
      <c r="R605" s="44">
        <f t="shared" si="54"/>
        <v>13158000</v>
      </c>
      <c r="S605" s="29">
        <v>7.0000000000000007E-2</v>
      </c>
      <c r="T605" s="44">
        <f t="shared" si="58"/>
        <v>12236940</v>
      </c>
      <c r="U605" s="44">
        <f t="shared" si="59"/>
        <v>4475340</v>
      </c>
      <c r="V605" s="44"/>
    </row>
    <row r="606" spans="1:22" ht="14.5" x14ac:dyDescent="0.35">
      <c r="A606" s="47" t="str">
        <f t="shared" si="55"/>
        <v>JKT-IA-E1029-2018</v>
      </c>
      <c r="B606" s="26">
        <v>43382</v>
      </c>
      <c r="C606" s="42">
        <v>2018</v>
      </c>
      <c r="D606" s="27" t="s">
        <v>598</v>
      </c>
      <c r="E606" s="27" t="s">
        <v>32</v>
      </c>
      <c r="F606" s="42" t="str" cm="1">
        <f t="array" ref="F606">_xlfn.IFS(E606="Bandung","BDG",E606="Surabaya","SBY",E606="Jakarta","JKT")</f>
        <v>JKT</v>
      </c>
      <c r="G606" s="27" t="s">
        <v>37</v>
      </c>
      <c r="H606" s="27" t="s">
        <v>214</v>
      </c>
      <c r="I606" s="27" t="s">
        <v>35</v>
      </c>
      <c r="J606" s="26">
        <v>43384</v>
      </c>
      <c r="K606" s="26">
        <v>43414</v>
      </c>
      <c r="L606" s="27">
        <f t="shared" si="56"/>
        <v>32</v>
      </c>
      <c r="M606" s="45">
        <v>54750</v>
      </c>
      <c r="N606" s="45">
        <v>89700</v>
      </c>
      <c r="O606" s="27">
        <v>175</v>
      </c>
      <c r="P606" s="46">
        <f t="shared" si="57"/>
        <v>0.38963210702341139</v>
      </c>
      <c r="Q606" s="27">
        <v>50</v>
      </c>
      <c r="R606" s="44">
        <f t="shared" si="54"/>
        <v>4485000</v>
      </c>
      <c r="S606" s="29">
        <v>0.02</v>
      </c>
      <c r="T606" s="44">
        <f t="shared" si="58"/>
        <v>4395300</v>
      </c>
      <c r="U606" s="44">
        <f t="shared" si="59"/>
        <v>1657800</v>
      </c>
      <c r="V606" s="44"/>
    </row>
    <row r="607" spans="1:22" ht="14.5" x14ac:dyDescent="0.35">
      <c r="A607" s="47" t="str">
        <f t="shared" si="55"/>
        <v>SBY-HY-E1032-2017</v>
      </c>
      <c r="B607" s="26">
        <v>42908</v>
      </c>
      <c r="C607" s="42">
        <v>2017</v>
      </c>
      <c r="D607" s="27" t="s">
        <v>385</v>
      </c>
      <c r="E607" s="27" t="s">
        <v>41</v>
      </c>
      <c r="F607" s="42" t="str" cm="1">
        <f t="array" ref="F607">_xlfn.IFS(E607="Bandung","BDG",E607="Surabaya","SBY",E607="Jakarta","JKT")</f>
        <v>SBY</v>
      </c>
      <c r="G607" s="27" t="s">
        <v>53</v>
      </c>
      <c r="H607" s="27" t="s">
        <v>221</v>
      </c>
      <c r="I607" s="27" t="s">
        <v>35</v>
      </c>
      <c r="J607" s="26" t="s">
        <v>1612</v>
      </c>
      <c r="K607" s="26">
        <v>42909</v>
      </c>
      <c r="L607" s="27">
        <f t="shared" si="56"/>
        <v>1</v>
      </c>
      <c r="M607" s="45">
        <v>29100</v>
      </c>
      <c r="N607" s="45">
        <v>46200</v>
      </c>
      <c r="O607" s="27">
        <v>120</v>
      </c>
      <c r="P607" s="46">
        <f t="shared" si="57"/>
        <v>0.37012987012987014</v>
      </c>
      <c r="Q607" s="27">
        <v>1</v>
      </c>
      <c r="R607" s="44">
        <f t="shared" si="54"/>
        <v>46200</v>
      </c>
      <c r="S607" s="29">
        <v>0.08</v>
      </c>
      <c r="T607" s="44">
        <f t="shared" si="58"/>
        <v>42504</v>
      </c>
      <c r="U607" s="44">
        <f t="shared" si="59"/>
        <v>13404</v>
      </c>
      <c r="V607" s="44"/>
    </row>
    <row r="608" spans="1:22" ht="14.5" x14ac:dyDescent="0.35">
      <c r="A608" s="47" t="str">
        <f t="shared" si="55"/>
        <v>SBY-HS-E1033-2018</v>
      </c>
      <c r="B608" s="26">
        <v>43285</v>
      </c>
      <c r="C608" s="42">
        <v>2018</v>
      </c>
      <c r="D608" s="27" t="s">
        <v>563</v>
      </c>
      <c r="E608" s="27" t="s">
        <v>41</v>
      </c>
      <c r="F608" s="42" t="str" cm="1">
        <f t="array" ref="F608">_xlfn.IFS(E608="Bandung","BDG",E608="Surabaya","SBY",E608="Jakarta","JKT")</f>
        <v>SBY</v>
      </c>
      <c r="G608" s="27" t="s">
        <v>60</v>
      </c>
      <c r="H608" s="27" t="s">
        <v>76</v>
      </c>
      <c r="I608" s="27" t="s">
        <v>35</v>
      </c>
      <c r="J608" s="26">
        <v>43286</v>
      </c>
      <c r="K608" s="26">
        <v>43227</v>
      </c>
      <c r="L608" s="27">
        <f t="shared" si="56"/>
        <v>-58</v>
      </c>
      <c r="M608" s="45">
        <v>68850</v>
      </c>
      <c r="N608" s="45">
        <v>109200</v>
      </c>
      <c r="O608" s="27">
        <v>184</v>
      </c>
      <c r="P608" s="46">
        <f t="shared" si="57"/>
        <v>0.36950549450549453</v>
      </c>
      <c r="Q608" s="27">
        <v>40</v>
      </c>
      <c r="R608" s="44">
        <f t="shared" si="54"/>
        <v>4368000</v>
      </c>
      <c r="S608" s="29">
        <v>0.04</v>
      </c>
      <c r="T608" s="44">
        <f t="shared" si="58"/>
        <v>4193280</v>
      </c>
      <c r="U608" s="44">
        <f t="shared" si="59"/>
        <v>1439280</v>
      </c>
      <c r="V608" s="44"/>
    </row>
    <row r="609" spans="1:22" ht="14.5" x14ac:dyDescent="0.35">
      <c r="A609" s="47" t="str">
        <f t="shared" si="55"/>
        <v>SBY-HH-E1040-2019</v>
      </c>
      <c r="B609" s="26">
        <v>43593</v>
      </c>
      <c r="C609" s="42">
        <v>2019</v>
      </c>
      <c r="D609" s="27" t="s">
        <v>652</v>
      </c>
      <c r="E609" s="27" t="s">
        <v>41</v>
      </c>
      <c r="F609" s="42" t="str" cm="1">
        <f t="array" ref="F609">_xlfn.IFS(E609="Bandung","BDG",E609="Surabaya","SBY",E609="Jakarta","JKT")</f>
        <v>SBY</v>
      </c>
      <c r="G609" s="27" t="s">
        <v>160</v>
      </c>
      <c r="H609" s="27" t="s">
        <v>251</v>
      </c>
      <c r="I609" s="27" t="s">
        <v>73</v>
      </c>
      <c r="J609" s="26">
        <v>43594</v>
      </c>
      <c r="K609" s="26">
        <v>43713</v>
      </c>
      <c r="L609" s="27">
        <f t="shared" si="56"/>
        <v>120</v>
      </c>
      <c r="M609" s="45">
        <v>77850</v>
      </c>
      <c r="N609" s="45">
        <v>194700</v>
      </c>
      <c r="O609" s="27">
        <v>171</v>
      </c>
      <c r="P609" s="46">
        <f t="shared" si="57"/>
        <v>0.60015408320493069</v>
      </c>
      <c r="Q609" s="27">
        <v>50</v>
      </c>
      <c r="R609" s="44">
        <f t="shared" si="54"/>
        <v>9735000</v>
      </c>
      <c r="S609" s="29">
        <v>0.08</v>
      </c>
      <c r="T609" s="44">
        <f t="shared" si="58"/>
        <v>8956200</v>
      </c>
      <c r="U609" s="44">
        <f t="shared" si="59"/>
        <v>5063700</v>
      </c>
      <c r="V609" s="44"/>
    </row>
    <row r="610" spans="1:22" ht="14.5" x14ac:dyDescent="0.35">
      <c r="A610" s="47" t="str">
        <f t="shared" si="55"/>
        <v>BDG-HF-E1041-2016</v>
      </c>
      <c r="B610" s="26">
        <v>42718</v>
      </c>
      <c r="C610" s="42">
        <v>2016</v>
      </c>
      <c r="D610" s="27" t="s">
        <v>257</v>
      </c>
      <c r="E610" s="27" t="s">
        <v>136</v>
      </c>
      <c r="F610" s="42" t="str" cm="1">
        <f t="array" ref="F610">_xlfn.IFS(E610="Bandung","BDG",E610="Surabaya","SBY",E610="Jakarta","JKT")</f>
        <v>BDG</v>
      </c>
      <c r="G610" s="27" t="s">
        <v>166</v>
      </c>
      <c r="H610" s="27" t="s">
        <v>138</v>
      </c>
      <c r="I610" s="27" t="s">
        <v>35</v>
      </c>
      <c r="J610" s="26" t="s">
        <v>1582</v>
      </c>
      <c r="K610" s="26">
        <v>42719</v>
      </c>
      <c r="L610" s="27">
        <f t="shared" si="56"/>
        <v>1</v>
      </c>
      <c r="M610" s="45">
        <v>17700</v>
      </c>
      <c r="N610" s="45">
        <v>28200</v>
      </c>
      <c r="O610" s="27">
        <v>181</v>
      </c>
      <c r="P610" s="46">
        <f t="shared" si="57"/>
        <v>0.37234042553191488</v>
      </c>
      <c r="Q610" s="27">
        <v>43</v>
      </c>
      <c r="R610" s="44">
        <f t="shared" si="54"/>
        <v>1212600</v>
      </c>
      <c r="S610" s="29">
        <v>0.03</v>
      </c>
      <c r="T610" s="44">
        <f t="shared" si="58"/>
        <v>1176222</v>
      </c>
      <c r="U610" s="44">
        <f t="shared" si="59"/>
        <v>415122</v>
      </c>
      <c r="V610" s="44"/>
    </row>
    <row r="611" spans="1:22" ht="14.5" x14ac:dyDescent="0.35">
      <c r="A611" s="47" t="str">
        <f t="shared" si="55"/>
        <v>BDG-HF-E1041-2018</v>
      </c>
      <c r="B611" s="26">
        <v>43302</v>
      </c>
      <c r="C611" s="42">
        <v>2018</v>
      </c>
      <c r="D611" s="27" t="s">
        <v>257</v>
      </c>
      <c r="E611" s="27" t="s">
        <v>136</v>
      </c>
      <c r="F611" s="42" t="str" cm="1">
        <f t="array" ref="F611">_xlfn.IFS(E611="Bandung","BDG",E611="Surabaya","SBY",E611="Jakarta","JKT")</f>
        <v>BDG</v>
      </c>
      <c r="G611" s="27" t="s">
        <v>166</v>
      </c>
      <c r="H611" s="27" t="s">
        <v>309</v>
      </c>
      <c r="I611" s="27" t="s">
        <v>35</v>
      </c>
      <c r="J611" s="26" t="s">
        <v>1678</v>
      </c>
      <c r="K611" s="26">
        <v>43303</v>
      </c>
      <c r="L611" s="27">
        <f t="shared" si="56"/>
        <v>1</v>
      </c>
      <c r="M611" s="45">
        <v>50550</v>
      </c>
      <c r="N611" s="45">
        <v>82950</v>
      </c>
      <c r="O611" s="27">
        <v>78</v>
      </c>
      <c r="P611" s="46">
        <f t="shared" si="57"/>
        <v>0.39059674502712477</v>
      </c>
      <c r="Q611" s="27">
        <v>9</v>
      </c>
      <c r="R611" s="44">
        <f t="shared" si="54"/>
        <v>746550</v>
      </c>
      <c r="S611" s="29">
        <v>0.09</v>
      </c>
      <c r="T611" s="44">
        <f t="shared" si="58"/>
        <v>679360.5</v>
      </c>
      <c r="U611" s="44">
        <f t="shared" si="59"/>
        <v>224410.5</v>
      </c>
      <c r="V611" s="44"/>
    </row>
    <row r="612" spans="1:22" ht="14.5" x14ac:dyDescent="0.35">
      <c r="A612" s="47" t="str">
        <f t="shared" si="55"/>
        <v>BDG-HF-E1041-2019</v>
      </c>
      <c r="B612" s="26">
        <v>43560</v>
      </c>
      <c r="C612" s="42">
        <v>2019</v>
      </c>
      <c r="D612" s="27" t="s">
        <v>257</v>
      </c>
      <c r="E612" s="27" t="s">
        <v>136</v>
      </c>
      <c r="F612" s="42" t="str" cm="1">
        <f t="array" ref="F612">_xlfn.IFS(E612="Bandung","BDG",E612="Surabaya","SBY",E612="Jakarta","JKT")</f>
        <v>BDG</v>
      </c>
      <c r="G612" s="27" t="s">
        <v>166</v>
      </c>
      <c r="H612" s="27" t="s">
        <v>127</v>
      </c>
      <c r="I612" s="27" t="s">
        <v>35</v>
      </c>
      <c r="J612" s="26">
        <v>43562</v>
      </c>
      <c r="K612" s="26">
        <v>43650</v>
      </c>
      <c r="L612" s="27">
        <f t="shared" si="56"/>
        <v>90</v>
      </c>
      <c r="M612" s="45">
        <v>296700</v>
      </c>
      <c r="N612" s="45">
        <v>689850</v>
      </c>
      <c r="O612" s="27">
        <v>11</v>
      </c>
      <c r="P612" s="46">
        <f t="shared" si="57"/>
        <v>0.56990650141335075</v>
      </c>
      <c r="Q612" s="27">
        <v>11</v>
      </c>
      <c r="R612" s="44">
        <f t="shared" si="54"/>
        <v>7588350</v>
      </c>
      <c r="S612" s="29">
        <v>7.0000000000000007E-2</v>
      </c>
      <c r="T612" s="44">
        <f t="shared" si="58"/>
        <v>7057165.4999999991</v>
      </c>
      <c r="U612" s="44">
        <f t="shared" si="59"/>
        <v>3793465.4999999991</v>
      </c>
      <c r="V612" s="44"/>
    </row>
    <row r="613" spans="1:22" ht="14.5" x14ac:dyDescent="0.35">
      <c r="A613" s="47" t="str">
        <f t="shared" si="55"/>
        <v>BDG-HF-E1041-2020</v>
      </c>
      <c r="B613" s="26">
        <v>43882</v>
      </c>
      <c r="C613" s="42">
        <v>2020</v>
      </c>
      <c r="D613" s="27" t="s">
        <v>257</v>
      </c>
      <c r="E613" s="27" t="s">
        <v>136</v>
      </c>
      <c r="F613" s="42" t="str" cm="1">
        <f t="array" ref="F613">_xlfn.IFS(E613="Bandung","BDG",E613="Surabaya","SBY",E613="Jakarta","JKT")</f>
        <v>BDG</v>
      </c>
      <c r="G613" s="27" t="s">
        <v>166</v>
      </c>
      <c r="H613" s="27" t="s">
        <v>426</v>
      </c>
      <c r="I613" s="27" t="s">
        <v>39</v>
      </c>
      <c r="J613" s="26" t="s">
        <v>1775</v>
      </c>
      <c r="K613" s="26">
        <v>43884</v>
      </c>
      <c r="L613" s="27">
        <f t="shared" si="56"/>
        <v>2</v>
      </c>
      <c r="M613" s="45">
        <v>16350.000000000002</v>
      </c>
      <c r="N613" s="45">
        <v>27300</v>
      </c>
      <c r="O613" s="27">
        <v>76</v>
      </c>
      <c r="P613" s="46">
        <f t="shared" si="57"/>
        <v>0.40109890109890101</v>
      </c>
      <c r="Q613" s="27">
        <v>40</v>
      </c>
      <c r="R613" s="44">
        <f t="shared" si="54"/>
        <v>1092000</v>
      </c>
      <c r="S613" s="29">
        <v>0.05</v>
      </c>
      <c r="T613" s="44">
        <f t="shared" si="58"/>
        <v>1037400</v>
      </c>
      <c r="U613" s="44">
        <f t="shared" si="59"/>
        <v>383399.99999999988</v>
      </c>
      <c r="V613" s="44"/>
    </row>
    <row r="614" spans="1:22" ht="14.5" x14ac:dyDescent="0.35">
      <c r="A614" s="47" t="str">
        <f t="shared" si="55"/>
        <v>SBY-HP-E1031-2019</v>
      </c>
      <c r="B614" s="26">
        <v>43671</v>
      </c>
      <c r="C614" s="42">
        <v>2019</v>
      </c>
      <c r="D614" s="27" t="s">
        <v>677</v>
      </c>
      <c r="E614" s="27" t="s">
        <v>41</v>
      </c>
      <c r="F614" s="42" t="str" cm="1">
        <f t="array" ref="F614">_xlfn.IFS(E614="Bandung","BDG",E614="Surabaya","SBY",E614="Jakarta","JKT")</f>
        <v>SBY</v>
      </c>
      <c r="G614" s="27" t="s">
        <v>48</v>
      </c>
      <c r="H614" s="27" t="s">
        <v>38</v>
      </c>
      <c r="I614" s="27" t="s">
        <v>39</v>
      </c>
      <c r="J614" s="26" t="s">
        <v>1738</v>
      </c>
      <c r="K614" s="26">
        <v>43672</v>
      </c>
      <c r="L614" s="27">
        <f t="shared" si="56"/>
        <v>1</v>
      </c>
      <c r="M614" s="45">
        <v>35850</v>
      </c>
      <c r="N614" s="45">
        <v>63900</v>
      </c>
      <c r="O614" s="27">
        <v>118</v>
      </c>
      <c r="P614" s="46">
        <f t="shared" si="57"/>
        <v>0.43896713615023475</v>
      </c>
      <c r="Q614" s="27">
        <v>34</v>
      </c>
      <c r="R614" s="44">
        <f t="shared" si="54"/>
        <v>2172600</v>
      </c>
      <c r="S614" s="29">
        <v>0.03</v>
      </c>
      <c r="T614" s="44">
        <f t="shared" si="58"/>
        <v>2107422</v>
      </c>
      <c r="U614" s="44">
        <f t="shared" si="59"/>
        <v>888522</v>
      </c>
      <c r="V614" s="44"/>
    </row>
    <row r="615" spans="1:22" ht="14.5" x14ac:dyDescent="0.35">
      <c r="A615" s="47" t="str">
        <f t="shared" si="55"/>
        <v>SBY-HP-E1037-2018</v>
      </c>
      <c r="B615" s="26">
        <v>43376</v>
      </c>
      <c r="C615" s="42">
        <v>2018</v>
      </c>
      <c r="D615" s="27" t="s">
        <v>596</v>
      </c>
      <c r="E615" s="27" t="s">
        <v>41</v>
      </c>
      <c r="F615" s="42" t="str" cm="1">
        <f t="array" ref="F615">_xlfn.IFS(E615="Bandung","BDG",E615="Surabaya","SBY",E615="Jakarta","JKT")</f>
        <v>SBY</v>
      </c>
      <c r="G615" s="27" t="s">
        <v>83</v>
      </c>
      <c r="H615" s="27" t="s">
        <v>148</v>
      </c>
      <c r="I615" s="27" t="s">
        <v>35</v>
      </c>
      <c r="J615" s="26">
        <v>43378</v>
      </c>
      <c r="K615" s="26">
        <v>43230</v>
      </c>
      <c r="L615" s="27">
        <f t="shared" si="56"/>
        <v>-146</v>
      </c>
      <c r="M615" s="45">
        <v>33750</v>
      </c>
      <c r="N615" s="45">
        <v>55350</v>
      </c>
      <c r="O615" s="27">
        <v>157</v>
      </c>
      <c r="P615" s="46">
        <f t="shared" si="57"/>
        <v>0.3902439024390244</v>
      </c>
      <c r="Q615" s="27">
        <v>42</v>
      </c>
      <c r="R615" s="44">
        <f t="shared" si="54"/>
        <v>2324700</v>
      </c>
      <c r="S615" s="29">
        <v>0.06</v>
      </c>
      <c r="T615" s="44">
        <f t="shared" si="58"/>
        <v>2185218</v>
      </c>
      <c r="U615" s="44">
        <f t="shared" si="59"/>
        <v>767718</v>
      </c>
      <c r="V615" s="44"/>
    </row>
    <row r="616" spans="1:22" ht="14.5" x14ac:dyDescent="0.35">
      <c r="A616" s="47" t="str">
        <f t="shared" si="55"/>
        <v>SBY-HS-E1032-2017</v>
      </c>
      <c r="B616" s="26">
        <v>43094</v>
      </c>
      <c r="C616" s="42">
        <v>2017</v>
      </c>
      <c r="D616" s="27" t="s">
        <v>479</v>
      </c>
      <c r="E616" s="27" t="s">
        <v>41</v>
      </c>
      <c r="F616" s="42" t="str" cm="1">
        <f t="array" ref="F616">_xlfn.IFS(E616="Bandung","BDG",E616="Surabaya","SBY",E616="Jakarta","JKT")</f>
        <v>SBY</v>
      </c>
      <c r="G616" s="27" t="s">
        <v>53</v>
      </c>
      <c r="H616" s="27" t="s">
        <v>426</v>
      </c>
      <c r="I616" s="27" t="s">
        <v>39</v>
      </c>
      <c r="J616" s="26" t="s">
        <v>1647</v>
      </c>
      <c r="K616" s="26">
        <v>43095</v>
      </c>
      <c r="L616" s="27">
        <f t="shared" si="56"/>
        <v>1</v>
      </c>
      <c r="M616" s="45">
        <v>16350.000000000002</v>
      </c>
      <c r="N616" s="45">
        <v>27300</v>
      </c>
      <c r="O616" s="27">
        <v>36</v>
      </c>
      <c r="P616" s="46">
        <f t="shared" si="57"/>
        <v>0.40109890109890101</v>
      </c>
      <c r="Q616" s="27">
        <v>36</v>
      </c>
      <c r="R616" s="44">
        <f t="shared" si="54"/>
        <v>982800</v>
      </c>
      <c r="S616" s="29">
        <v>0.09</v>
      </c>
      <c r="T616" s="44">
        <f t="shared" si="58"/>
        <v>894348</v>
      </c>
      <c r="U616" s="44">
        <f t="shared" si="59"/>
        <v>305747.99999999988</v>
      </c>
      <c r="V616" s="44"/>
    </row>
    <row r="617" spans="1:22" ht="14.5" x14ac:dyDescent="0.35">
      <c r="A617" s="47" t="str">
        <f t="shared" si="55"/>
        <v>JKT-HM-E1029-2016</v>
      </c>
      <c r="B617" s="26">
        <v>42641</v>
      </c>
      <c r="C617" s="42">
        <v>2016</v>
      </c>
      <c r="D617" s="27" t="s">
        <v>175</v>
      </c>
      <c r="E617" s="27" t="s">
        <v>32</v>
      </c>
      <c r="F617" s="42" t="str" cm="1">
        <f t="array" ref="F617">_xlfn.IFS(E617="Bandung","BDG",E617="Surabaya","SBY",E617="Jakarta","JKT")</f>
        <v>JKT</v>
      </c>
      <c r="G617" s="27" t="s">
        <v>37</v>
      </c>
      <c r="H617" s="27" t="s">
        <v>144</v>
      </c>
      <c r="I617" s="27" t="s">
        <v>35</v>
      </c>
      <c r="J617" s="26">
        <v>42641</v>
      </c>
      <c r="K617" s="26">
        <v>42641</v>
      </c>
      <c r="L617" s="27">
        <f t="shared" si="56"/>
        <v>0</v>
      </c>
      <c r="M617" s="45">
        <v>2347500</v>
      </c>
      <c r="N617" s="45">
        <v>4514550</v>
      </c>
      <c r="O617" s="27">
        <v>81</v>
      </c>
      <c r="P617" s="46">
        <f t="shared" si="57"/>
        <v>0.48001461939728213</v>
      </c>
      <c r="Q617" s="27">
        <v>1</v>
      </c>
      <c r="R617" s="44">
        <f t="shared" si="54"/>
        <v>4514550</v>
      </c>
      <c r="S617" s="29">
        <v>0.06</v>
      </c>
      <c r="T617" s="44">
        <f t="shared" si="58"/>
        <v>4243677</v>
      </c>
      <c r="U617" s="44">
        <f t="shared" si="59"/>
        <v>1896177</v>
      </c>
      <c r="V617" s="44"/>
    </row>
    <row r="618" spans="1:22" ht="14.5" x14ac:dyDescent="0.35">
      <c r="A618" s="47" t="str">
        <f t="shared" si="55"/>
        <v>JKT-HM-E1029-2018</v>
      </c>
      <c r="B618" s="26">
        <v>43365</v>
      </c>
      <c r="C618" s="42">
        <v>2018</v>
      </c>
      <c r="D618" s="27" t="s">
        <v>175</v>
      </c>
      <c r="E618" s="27" t="s">
        <v>32</v>
      </c>
      <c r="F618" s="42" t="str" cm="1">
        <f t="array" ref="F618">_xlfn.IFS(E618="Bandung","BDG",E618="Surabaya","SBY",E618="Jakarta","JKT")</f>
        <v>JKT</v>
      </c>
      <c r="G618" s="27" t="s">
        <v>37</v>
      </c>
      <c r="H618" s="27" t="s">
        <v>87</v>
      </c>
      <c r="I618" s="27" t="s">
        <v>35</v>
      </c>
      <c r="J618" s="26" t="s">
        <v>1694</v>
      </c>
      <c r="K618" s="26">
        <v>43369</v>
      </c>
      <c r="L618" s="27">
        <f t="shared" si="56"/>
        <v>4</v>
      </c>
      <c r="M618" s="45">
        <v>52800</v>
      </c>
      <c r="N618" s="45">
        <v>85200</v>
      </c>
      <c r="O618" s="27">
        <v>104</v>
      </c>
      <c r="P618" s="46">
        <f t="shared" si="57"/>
        <v>0.38028169014084506</v>
      </c>
      <c r="Q618" s="27">
        <v>8</v>
      </c>
      <c r="R618" s="44">
        <f t="shared" si="54"/>
        <v>681600</v>
      </c>
      <c r="S618" s="29">
        <v>0.05</v>
      </c>
      <c r="T618" s="44">
        <f t="shared" si="58"/>
        <v>647520</v>
      </c>
      <c r="U618" s="44">
        <f t="shared" si="59"/>
        <v>225120</v>
      </c>
      <c r="V618" s="44"/>
    </row>
    <row r="619" spans="1:22" ht="14.5" x14ac:dyDescent="0.35">
      <c r="A619" s="47" t="str">
        <f t="shared" si="55"/>
        <v>JKT-HF-E1029-2018</v>
      </c>
      <c r="B619" s="26">
        <v>43369</v>
      </c>
      <c r="C619" s="42">
        <v>2018</v>
      </c>
      <c r="D619" s="27" t="s">
        <v>594</v>
      </c>
      <c r="E619" s="27" t="s">
        <v>32</v>
      </c>
      <c r="F619" s="42" t="str" cm="1">
        <f t="array" ref="F619">_xlfn.IFS(E619="Bandung","BDG",E619="Surabaya","SBY",E619="Jakarta","JKT")</f>
        <v>JKT</v>
      </c>
      <c r="G619" s="27" t="s">
        <v>37</v>
      </c>
      <c r="H619" s="27" t="s">
        <v>202</v>
      </c>
      <c r="I619" s="27" t="s">
        <v>39</v>
      </c>
      <c r="J619" s="26" t="s">
        <v>1696</v>
      </c>
      <c r="K619" s="26">
        <v>43370</v>
      </c>
      <c r="L619" s="27">
        <f t="shared" si="56"/>
        <v>1</v>
      </c>
      <c r="M619" s="45">
        <v>19650</v>
      </c>
      <c r="N619" s="45">
        <v>42600</v>
      </c>
      <c r="O619" s="27">
        <v>122</v>
      </c>
      <c r="P619" s="46">
        <f t="shared" si="57"/>
        <v>0.53873239436619713</v>
      </c>
      <c r="Q619" s="27">
        <v>23</v>
      </c>
      <c r="R619" s="44">
        <f t="shared" si="54"/>
        <v>979800</v>
      </c>
      <c r="S619" s="29">
        <v>0.06</v>
      </c>
      <c r="T619" s="44">
        <f t="shared" si="58"/>
        <v>921012</v>
      </c>
      <c r="U619" s="44">
        <f t="shared" si="59"/>
        <v>469062</v>
      </c>
      <c r="V619" s="44"/>
    </row>
    <row r="620" spans="1:22" ht="14.5" x14ac:dyDescent="0.35">
      <c r="A620" s="47" t="str">
        <f t="shared" si="55"/>
        <v>SBY-HN-E1036-2020</v>
      </c>
      <c r="B620" s="26">
        <v>43890</v>
      </c>
      <c r="C620" s="42">
        <v>2020</v>
      </c>
      <c r="D620" s="27" t="s">
        <v>722</v>
      </c>
      <c r="E620" s="27" t="s">
        <v>41</v>
      </c>
      <c r="F620" s="42" t="str" cm="1">
        <f t="array" ref="F620">_xlfn.IFS(E620="Bandung","BDG",E620="Surabaya","SBY",E620="Jakarta","JKT")</f>
        <v>SBY</v>
      </c>
      <c r="G620" s="27" t="s">
        <v>78</v>
      </c>
      <c r="H620" s="27" t="s">
        <v>146</v>
      </c>
      <c r="I620" s="27" t="s">
        <v>39</v>
      </c>
      <c r="J620" s="26" t="s">
        <v>1777</v>
      </c>
      <c r="K620" s="26">
        <v>43890</v>
      </c>
      <c r="L620" s="27">
        <f t="shared" si="56"/>
        <v>0</v>
      </c>
      <c r="M620" s="45">
        <v>34350</v>
      </c>
      <c r="N620" s="45">
        <v>53700</v>
      </c>
      <c r="O620" s="27">
        <v>85</v>
      </c>
      <c r="P620" s="46">
        <f t="shared" si="57"/>
        <v>0.36033519553072624</v>
      </c>
      <c r="Q620" s="27">
        <v>32</v>
      </c>
      <c r="R620" s="44">
        <f t="shared" si="54"/>
        <v>1718400</v>
      </c>
      <c r="S620" s="29">
        <v>0.09</v>
      </c>
      <c r="T620" s="44">
        <f t="shared" si="58"/>
        <v>1563744</v>
      </c>
      <c r="U620" s="44">
        <f t="shared" si="59"/>
        <v>464544</v>
      </c>
      <c r="V620" s="44"/>
    </row>
    <row r="621" spans="1:22" ht="14.5" x14ac:dyDescent="0.35">
      <c r="A621" s="47" t="str">
        <f t="shared" si="55"/>
        <v>SBY-HS-E1034-2018</v>
      </c>
      <c r="B621" s="26">
        <v>43363</v>
      </c>
      <c r="C621" s="42">
        <v>2018</v>
      </c>
      <c r="D621" s="27" t="s">
        <v>591</v>
      </c>
      <c r="E621" s="27" t="s">
        <v>41</v>
      </c>
      <c r="F621" s="42" t="str" cm="1">
        <f t="array" ref="F621">_xlfn.IFS(E621="Bandung","BDG",E621="Surabaya","SBY",E621="Jakarta","JKT")</f>
        <v>SBY</v>
      </c>
      <c r="G621" s="27" t="s">
        <v>65</v>
      </c>
      <c r="H621" s="27" t="s">
        <v>287</v>
      </c>
      <c r="I621" s="27" t="s">
        <v>35</v>
      </c>
      <c r="J621" s="26">
        <v>43365</v>
      </c>
      <c r="K621" s="26">
        <v>43365</v>
      </c>
      <c r="L621" s="27">
        <f t="shared" si="56"/>
        <v>2</v>
      </c>
      <c r="M621" s="45">
        <v>936000</v>
      </c>
      <c r="N621" s="45">
        <v>2339850</v>
      </c>
      <c r="O621" s="27">
        <v>43</v>
      </c>
      <c r="P621" s="46">
        <f t="shared" si="57"/>
        <v>0.59997435733059812</v>
      </c>
      <c r="Q621" s="27">
        <v>21</v>
      </c>
      <c r="R621" s="44">
        <f t="shared" si="54"/>
        <v>49136850</v>
      </c>
      <c r="S621" s="29">
        <v>0.08</v>
      </c>
      <c r="T621" s="44">
        <f t="shared" si="58"/>
        <v>45205902</v>
      </c>
      <c r="U621" s="44">
        <f t="shared" si="59"/>
        <v>25549902</v>
      </c>
      <c r="V621" s="44"/>
    </row>
    <row r="622" spans="1:22" ht="14.5" x14ac:dyDescent="0.35">
      <c r="A622" s="47" t="str">
        <f t="shared" si="55"/>
        <v>SBY-HR-E1032-2017</v>
      </c>
      <c r="B622" s="26">
        <v>42801</v>
      </c>
      <c r="C622" s="42">
        <v>2017</v>
      </c>
      <c r="D622" s="27" t="s">
        <v>318</v>
      </c>
      <c r="E622" s="27" t="s">
        <v>41</v>
      </c>
      <c r="F622" s="42" t="str" cm="1">
        <f t="array" ref="F622">_xlfn.IFS(E622="Bandung","BDG",E622="Surabaya","SBY",E622="Jakarta","JKT")</f>
        <v>SBY</v>
      </c>
      <c r="G622" s="27" t="s">
        <v>53</v>
      </c>
      <c r="H622" s="27" t="s">
        <v>319</v>
      </c>
      <c r="I622" s="27" t="s">
        <v>73</v>
      </c>
      <c r="J622" s="26">
        <v>42950</v>
      </c>
      <c r="K622" s="26">
        <v>42802</v>
      </c>
      <c r="L622" s="27">
        <f t="shared" si="56"/>
        <v>1</v>
      </c>
      <c r="M622" s="45">
        <v>170700</v>
      </c>
      <c r="N622" s="45">
        <v>279750</v>
      </c>
      <c r="O622" s="27">
        <v>19</v>
      </c>
      <c r="P622" s="46">
        <f t="shared" si="57"/>
        <v>0.38981233243967828</v>
      </c>
      <c r="Q622" s="27">
        <v>19</v>
      </c>
      <c r="R622" s="44">
        <f t="shared" si="54"/>
        <v>5315250</v>
      </c>
      <c r="S622" s="29">
        <v>7.0000000000000007E-2</v>
      </c>
      <c r="T622" s="44">
        <f t="shared" si="58"/>
        <v>4943182.5</v>
      </c>
      <c r="U622" s="44">
        <f t="shared" si="59"/>
        <v>1699882.5</v>
      </c>
      <c r="V622" s="44"/>
    </row>
    <row r="623" spans="1:22" ht="14.5" x14ac:dyDescent="0.35">
      <c r="A623" s="47" t="str">
        <f t="shared" si="55"/>
        <v>SBY-HB-E1034-2018</v>
      </c>
      <c r="B623" s="26">
        <v>43141</v>
      </c>
      <c r="C623" s="42">
        <v>2018</v>
      </c>
      <c r="D623" s="27" t="s">
        <v>500</v>
      </c>
      <c r="E623" s="27" t="s">
        <v>41</v>
      </c>
      <c r="F623" s="42" t="str" cm="1">
        <f t="array" ref="F623">_xlfn.IFS(E623="Bandung","BDG",E623="Surabaya","SBY",E623="Jakarta","JKT")</f>
        <v>SBY</v>
      </c>
      <c r="G623" s="27" t="s">
        <v>65</v>
      </c>
      <c r="H623" s="27" t="s">
        <v>107</v>
      </c>
      <c r="I623" s="27" t="s">
        <v>73</v>
      </c>
      <c r="J623" s="26">
        <v>43143</v>
      </c>
      <c r="K623" s="26">
        <v>43436</v>
      </c>
      <c r="L623" s="27">
        <f t="shared" si="56"/>
        <v>295</v>
      </c>
      <c r="M623" s="45">
        <v>71850</v>
      </c>
      <c r="N623" s="45">
        <v>179550</v>
      </c>
      <c r="O623" s="27">
        <v>214</v>
      </c>
      <c r="P623" s="46">
        <f t="shared" si="57"/>
        <v>0.59983291562238927</v>
      </c>
      <c r="Q623" s="27">
        <v>23</v>
      </c>
      <c r="R623" s="44">
        <f t="shared" si="54"/>
        <v>4129650</v>
      </c>
      <c r="S623" s="29">
        <v>0.01</v>
      </c>
      <c r="T623" s="44">
        <f t="shared" si="58"/>
        <v>4088353.5</v>
      </c>
      <c r="U623" s="44">
        <f t="shared" si="59"/>
        <v>2435803.5</v>
      </c>
      <c r="V623" s="44"/>
    </row>
    <row r="624" spans="1:22" ht="14.5" x14ac:dyDescent="0.35">
      <c r="A624" s="47" t="str">
        <f t="shared" si="55"/>
        <v>SBY-HB-E1034-2018</v>
      </c>
      <c r="B624" s="26">
        <v>43162</v>
      </c>
      <c r="C624" s="42">
        <v>2018</v>
      </c>
      <c r="D624" s="27" t="s">
        <v>500</v>
      </c>
      <c r="E624" s="27" t="s">
        <v>41</v>
      </c>
      <c r="F624" s="42" t="str" cm="1">
        <f t="array" ref="F624">_xlfn.IFS(E624="Bandung","BDG",E624="Surabaya","SBY",E624="Jakarta","JKT")</f>
        <v>SBY</v>
      </c>
      <c r="G624" s="27" t="s">
        <v>65</v>
      </c>
      <c r="H624" s="27" t="s">
        <v>243</v>
      </c>
      <c r="I624" s="27" t="s">
        <v>35</v>
      </c>
      <c r="J624" s="26">
        <v>43164</v>
      </c>
      <c r="K624" s="26">
        <v>43223</v>
      </c>
      <c r="L624" s="27">
        <f t="shared" si="56"/>
        <v>61</v>
      </c>
      <c r="M624" s="45">
        <v>1015950.0000000001</v>
      </c>
      <c r="N624" s="45">
        <v>2478000</v>
      </c>
      <c r="O624" s="27">
        <v>138</v>
      </c>
      <c r="P624" s="46">
        <f t="shared" si="57"/>
        <v>0.59001210653753022</v>
      </c>
      <c r="Q624" s="27">
        <v>46</v>
      </c>
      <c r="R624" s="44">
        <f t="shared" si="54"/>
        <v>113988000</v>
      </c>
      <c r="S624" s="29">
        <v>0.02</v>
      </c>
      <c r="T624" s="44">
        <f t="shared" si="58"/>
        <v>111708240</v>
      </c>
      <c r="U624" s="44">
        <f t="shared" si="59"/>
        <v>64974539.999999993</v>
      </c>
      <c r="V624" s="44"/>
    </row>
    <row r="625" spans="1:22" ht="14.5" x14ac:dyDescent="0.35">
      <c r="A625" s="47" t="str">
        <f t="shared" si="55"/>
        <v>SBY-HI-E1030-2019</v>
      </c>
      <c r="B625" s="26">
        <v>43602</v>
      </c>
      <c r="C625" s="42">
        <v>2019</v>
      </c>
      <c r="D625" s="27" t="s">
        <v>656</v>
      </c>
      <c r="E625" s="27" t="s">
        <v>41</v>
      </c>
      <c r="F625" s="42" t="str" cm="1">
        <f t="array" ref="F625">_xlfn.IFS(E625="Bandung","BDG",E625="Surabaya","SBY",E625="Jakarta","JKT")</f>
        <v>SBY</v>
      </c>
      <c r="G625" s="27" t="s">
        <v>42</v>
      </c>
      <c r="H625" s="27" t="s">
        <v>209</v>
      </c>
      <c r="I625" s="27" t="s">
        <v>46</v>
      </c>
      <c r="J625" s="26">
        <v>43603</v>
      </c>
      <c r="K625" s="26">
        <v>43603</v>
      </c>
      <c r="L625" s="27">
        <f t="shared" si="56"/>
        <v>1</v>
      </c>
      <c r="M625" s="45">
        <v>4184850</v>
      </c>
      <c r="N625" s="45">
        <v>6749850</v>
      </c>
      <c r="O625" s="27">
        <v>154</v>
      </c>
      <c r="P625" s="46">
        <f t="shared" si="57"/>
        <v>0.38000844463210293</v>
      </c>
      <c r="Q625" s="27">
        <v>16</v>
      </c>
      <c r="R625" s="44">
        <f t="shared" si="54"/>
        <v>107997600</v>
      </c>
      <c r="S625" s="29">
        <v>0.09</v>
      </c>
      <c r="T625" s="44">
        <f t="shared" si="58"/>
        <v>98277816</v>
      </c>
      <c r="U625" s="44">
        <f t="shared" si="59"/>
        <v>31320216</v>
      </c>
      <c r="V625" s="44"/>
    </row>
    <row r="626" spans="1:22" ht="14.5" x14ac:dyDescent="0.35">
      <c r="A626" s="47" t="str">
        <f t="shared" si="55"/>
        <v>BDG-HS-E1039-2019</v>
      </c>
      <c r="B626" s="26">
        <v>43597</v>
      </c>
      <c r="C626" s="42">
        <v>2019</v>
      </c>
      <c r="D626" s="27" t="s">
        <v>654</v>
      </c>
      <c r="E626" s="27" t="s">
        <v>136</v>
      </c>
      <c r="F626" s="42" t="str" cm="1">
        <f t="array" ref="F626">_xlfn.IFS(E626="Bandung","BDG",E626="Surabaya","SBY",E626="Jakarta","JKT")</f>
        <v>BDG</v>
      </c>
      <c r="G626" s="27" t="s">
        <v>103</v>
      </c>
      <c r="H626" s="27" t="s">
        <v>364</v>
      </c>
      <c r="I626" s="27" t="s">
        <v>39</v>
      </c>
      <c r="J626" s="26" t="s">
        <v>1726</v>
      </c>
      <c r="K626" s="26">
        <v>43599</v>
      </c>
      <c r="L626" s="27">
        <f t="shared" si="56"/>
        <v>2</v>
      </c>
      <c r="M626" s="45">
        <v>38850</v>
      </c>
      <c r="N626" s="45">
        <v>59700</v>
      </c>
      <c r="O626" s="27">
        <v>52</v>
      </c>
      <c r="P626" s="46">
        <f t="shared" si="57"/>
        <v>0.34924623115577891</v>
      </c>
      <c r="Q626" s="27">
        <v>41</v>
      </c>
      <c r="R626" s="44">
        <f t="shared" si="54"/>
        <v>2447700</v>
      </c>
      <c r="S626" s="29">
        <v>0.1</v>
      </c>
      <c r="T626" s="44">
        <f t="shared" si="58"/>
        <v>2202930</v>
      </c>
      <c r="U626" s="44">
        <f t="shared" si="59"/>
        <v>610080</v>
      </c>
      <c r="V626" s="44"/>
    </row>
    <row r="627" spans="1:22" ht="14.5" x14ac:dyDescent="0.35">
      <c r="A627" s="47" t="str">
        <f t="shared" si="55"/>
        <v>JKT-HP-E1029-2016</v>
      </c>
      <c r="B627" s="26">
        <v>42640</v>
      </c>
      <c r="C627" s="42">
        <v>2016</v>
      </c>
      <c r="D627" s="27" t="s">
        <v>173</v>
      </c>
      <c r="E627" s="27" t="s">
        <v>32</v>
      </c>
      <c r="F627" s="42" t="str" cm="1">
        <f t="array" ref="F627">_xlfn.IFS(E627="Bandung","BDG",E627="Surabaya","SBY",E627="Jakarta","JKT")</f>
        <v>JKT</v>
      </c>
      <c r="G627" s="27" t="s">
        <v>37</v>
      </c>
      <c r="H627" s="27" t="s">
        <v>174</v>
      </c>
      <c r="I627" s="27" t="s">
        <v>39</v>
      </c>
      <c r="J627" s="26">
        <v>42642</v>
      </c>
      <c r="K627" s="26">
        <v>42642</v>
      </c>
      <c r="L627" s="27">
        <f t="shared" si="56"/>
        <v>2</v>
      </c>
      <c r="M627" s="45">
        <v>43500</v>
      </c>
      <c r="N627" s="45">
        <v>71400</v>
      </c>
      <c r="O627" s="27">
        <v>38</v>
      </c>
      <c r="P627" s="46">
        <f t="shared" si="57"/>
        <v>0.3907563025210084</v>
      </c>
      <c r="Q627" s="27">
        <v>27</v>
      </c>
      <c r="R627" s="44">
        <f t="shared" si="54"/>
        <v>1927800</v>
      </c>
      <c r="S627" s="29">
        <v>7.0000000000000007E-2</v>
      </c>
      <c r="T627" s="44">
        <f t="shared" si="58"/>
        <v>1792853.9999999998</v>
      </c>
      <c r="U627" s="44">
        <f t="shared" si="59"/>
        <v>618353.99999999977</v>
      </c>
      <c r="V627" s="44"/>
    </row>
    <row r="628" spans="1:22" ht="14.5" x14ac:dyDescent="0.35">
      <c r="A628" s="47" t="str">
        <f t="shared" si="55"/>
        <v>JKT-HP-E1029-2018</v>
      </c>
      <c r="B628" s="26">
        <v>43408</v>
      </c>
      <c r="C628" s="42">
        <v>2018</v>
      </c>
      <c r="D628" s="27" t="s">
        <v>173</v>
      </c>
      <c r="E628" s="27" t="s">
        <v>32</v>
      </c>
      <c r="F628" s="42" t="str" cm="1">
        <f t="array" ref="F628">_xlfn.IFS(E628="Bandung","BDG",E628="Surabaya","SBY",E628="Jakarta","JKT")</f>
        <v>JKT</v>
      </c>
      <c r="G628" s="27" t="s">
        <v>37</v>
      </c>
      <c r="H628" s="27" t="s">
        <v>138</v>
      </c>
      <c r="I628" s="27" t="s">
        <v>35</v>
      </c>
      <c r="J628" s="26">
        <v>43409</v>
      </c>
      <c r="K628" s="26">
        <v>43231</v>
      </c>
      <c r="L628" s="27">
        <f t="shared" si="56"/>
        <v>-177</v>
      </c>
      <c r="M628" s="45">
        <v>17700</v>
      </c>
      <c r="N628" s="45">
        <v>28200</v>
      </c>
      <c r="O628" s="27">
        <v>138</v>
      </c>
      <c r="P628" s="46">
        <f t="shared" si="57"/>
        <v>0.37234042553191488</v>
      </c>
      <c r="Q628" s="27">
        <v>8</v>
      </c>
      <c r="R628" s="44">
        <f t="shared" si="54"/>
        <v>225600</v>
      </c>
      <c r="S628" s="29">
        <v>0.05</v>
      </c>
      <c r="T628" s="44">
        <f t="shared" si="58"/>
        <v>214320</v>
      </c>
      <c r="U628" s="44">
        <f t="shared" si="59"/>
        <v>72720</v>
      </c>
      <c r="V628" s="44"/>
    </row>
    <row r="629" spans="1:22" ht="14.5" x14ac:dyDescent="0.35">
      <c r="A629" s="47" t="str">
        <f t="shared" si="55"/>
        <v>JKT-HP-E1029-2019</v>
      </c>
      <c r="B629" s="26">
        <v>43692</v>
      </c>
      <c r="C629" s="42">
        <v>2019</v>
      </c>
      <c r="D629" s="27" t="s">
        <v>173</v>
      </c>
      <c r="E629" s="27" t="s">
        <v>32</v>
      </c>
      <c r="F629" s="42" t="str" cm="1">
        <f t="array" ref="F629">_xlfn.IFS(E629="Bandung","BDG",E629="Surabaya","SBY",E629="Jakarta","JKT")</f>
        <v>JKT</v>
      </c>
      <c r="G629" s="27" t="s">
        <v>37</v>
      </c>
      <c r="H629" s="27" t="s">
        <v>269</v>
      </c>
      <c r="I629" s="27" t="s">
        <v>73</v>
      </c>
      <c r="J629" s="26">
        <v>43693</v>
      </c>
      <c r="K629" s="26">
        <v>43693</v>
      </c>
      <c r="L629" s="27">
        <f t="shared" si="56"/>
        <v>1</v>
      </c>
      <c r="M629" s="45">
        <v>37500</v>
      </c>
      <c r="N629" s="45">
        <v>85200</v>
      </c>
      <c r="O629" s="27">
        <v>71</v>
      </c>
      <c r="P629" s="46">
        <f t="shared" si="57"/>
        <v>0.5598591549295775</v>
      </c>
      <c r="Q629" s="27">
        <v>25</v>
      </c>
      <c r="R629" s="44">
        <f t="shared" si="54"/>
        <v>2130000</v>
      </c>
      <c r="S629" s="29">
        <v>0.1</v>
      </c>
      <c r="T629" s="44">
        <f t="shared" si="58"/>
        <v>1917000</v>
      </c>
      <c r="U629" s="44">
        <f t="shared" si="59"/>
        <v>979500</v>
      </c>
      <c r="V629" s="44"/>
    </row>
    <row r="630" spans="1:22" ht="14.5" x14ac:dyDescent="0.35">
      <c r="A630" s="47" t="str">
        <f t="shared" si="55"/>
        <v>BDG-HW-E1036-2017</v>
      </c>
      <c r="B630" s="26">
        <v>42993</v>
      </c>
      <c r="C630" s="42">
        <v>2017</v>
      </c>
      <c r="D630" s="27" t="s">
        <v>427</v>
      </c>
      <c r="E630" s="27" t="s">
        <v>136</v>
      </c>
      <c r="F630" s="42" t="str" cm="1">
        <f t="array" ref="F630">_xlfn.IFS(E630="Bandung","BDG",E630="Surabaya","SBY",E630="Jakarta","JKT")</f>
        <v>BDG</v>
      </c>
      <c r="G630" s="27" t="s">
        <v>78</v>
      </c>
      <c r="H630" s="27" t="s">
        <v>130</v>
      </c>
      <c r="I630" s="27" t="s">
        <v>39</v>
      </c>
      <c r="J630" s="26" t="s">
        <v>1628</v>
      </c>
      <c r="K630" s="26">
        <v>42995</v>
      </c>
      <c r="L630" s="27">
        <f t="shared" si="56"/>
        <v>2</v>
      </c>
      <c r="M630" s="45">
        <v>56250</v>
      </c>
      <c r="N630" s="45">
        <v>106200</v>
      </c>
      <c r="O630" s="27">
        <v>121</v>
      </c>
      <c r="P630" s="46">
        <f t="shared" si="57"/>
        <v>0.47033898305084748</v>
      </c>
      <c r="Q630" s="27">
        <v>45</v>
      </c>
      <c r="R630" s="44">
        <f t="shared" si="54"/>
        <v>4779000</v>
      </c>
      <c r="S630" s="29">
        <v>0.06</v>
      </c>
      <c r="T630" s="44">
        <f t="shared" si="58"/>
        <v>4492260</v>
      </c>
      <c r="U630" s="44">
        <f t="shared" si="59"/>
        <v>1961010</v>
      </c>
      <c r="V630" s="44"/>
    </row>
    <row r="631" spans="1:22" ht="14.5" x14ac:dyDescent="0.35">
      <c r="A631" s="47" t="str">
        <f t="shared" si="55"/>
        <v>BDG-HW-E1036-2018</v>
      </c>
      <c r="B631" s="26">
        <v>43111</v>
      </c>
      <c r="C631" s="42">
        <v>2018</v>
      </c>
      <c r="D631" s="27" t="s">
        <v>427</v>
      </c>
      <c r="E631" s="27" t="s">
        <v>136</v>
      </c>
      <c r="F631" s="42" t="str" cm="1">
        <f t="array" ref="F631">_xlfn.IFS(E631="Bandung","BDG",E631="Surabaya","SBY",E631="Jakarta","JKT")</f>
        <v>BDG</v>
      </c>
      <c r="G631" s="27" t="s">
        <v>78</v>
      </c>
      <c r="H631" s="27" t="s">
        <v>69</v>
      </c>
      <c r="I631" s="27" t="s">
        <v>39</v>
      </c>
      <c r="J631" s="26">
        <v>43405</v>
      </c>
      <c r="K631" s="26">
        <v>43111</v>
      </c>
      <c r="L631" s="27">
        <f t="shared" si="56"/>
        <v>0</v>
      </c>
      <c r="M631" s="45">
        <v>10650</v>
      </c>
      <c r="N631" s="45">
        <v>17100</v>
      </c>
      <c r="O631" s="27">
        <v>151</v>
      </c>
      <c r="P631" s="46">
        <f t="shared" si="57"/>
        <v>0.37719298245614036</v>
      </c>
      <c r="Q631" s="27">
        <v>8</v>
      </c>
      <c r="R631" s="44">
        <f t="shared" si="54"/>
        <v>136800</v>
      </c>
      <c r="S631" s="29">
        <v>0</v>
      </c>
      <c r="T631" s="44">
        <f t="shared" si="58"/>
        <v>136800</v>
      </c>
      <c r="U631" s="44">
        <f t="shared" si="59"/>
        <v>51600</v>
      </c>
      <c r="V631" s="44"/>
    </row>
    <row r="632" spans="1:22" ht="14.5" x14ac:dyDescent="0.35">
      <c r="A632" s="47" t="str">
        <f t="shared" si="55"/>
        <v>BDG-HW-E1036-2020</v>
      </c>
      <c r="B632" s="26">
        <v>43839</v>
      </c>
      <c r="C632" s="42">
        <v>2020</v>
      </c>
      <c r="D632" s="27" t="s">
        <v>427</v>
      </c>
      <c r="E632" s="27" t="s">
        <v>136</v>
      </c>
      <c r="F632" s="42" t="str" cm="1">
        <f t="array" ref="F632">_xlfn.IFS(E632="Bandung","BDG",E632="Surabaya","SBY",E632="Jakarta","JKT")</f>
        <v>BDG</v>
      </c>
      <c r="G632" s="27" t="s">
        <v>78</v>
      </c>
      <c r="H632" s="27" t="s">
        <v>445</v>
      </c>
      <c r="I632" s="27" t="s">
        <v>35</v>
      </c>
      <c r="J632" s="26">
        <v>44105</v>
      </c>
      <c r="K632" s="26">
        <v>43840</v>
      </c>
      <c r="L632" s="27">
        <f t="shared" si="56"/>
        <v>1</v>
      </c>
      <c r="M632" s="45">
        <v>220500</v>
      </c>
      <c r="N632" s="45">
        <v>449850</v>
      </c>
      <c r="O632" s="27">
        <v>82</v>
      </c>
      <c r="P632" s="46">
        <f t="shared" si="57"/>
        <v>0.50983661220406806</v>
      </c>
      <c r="Q632" s="27">
        <v>36</v>
      </c>
      <c r="R632" s="44">
        <f t="shared" si="54"/>
        <v>16194600</v>
      </c>
      <c r="S632" s="29">
        <v>0.03</v>
      </c>
      <c r="T632" s="44">
        <f t="shared" si="58"/>
        <v>15708762</v>
      </c>
      <c r="U632" s="44">
        <f t="shared" si="59"/>
        <v>7770762</v>
      </c>
      <c r="V632" s="44"/>
    </row>
    <row r="633" spans="1:22" ht="14.5" x14ac:dyDescent="0.35">
      <c r="A633" s="47" t="str">
        <f t="shared" si="55"/>
        <v>BDG-HW-E1036-2020</v>
      </c>
      <c r="B633" s="26">
        <v>43839</v>
      </c>
      <c r="C633" s="42">
        <v>2020</v>
      </c>
      <c r="D633" s="27" t="s">
        <v>427</v>
      </c>
      <c r="E633" s="27" t="s">
        <v>136</v>
      </c>
      <c r="F633" s="42" t="str" cm="1">
        <f t="array" ref="F633">_xlfn.IFS(E633="Bandung","BDG",E633="Surabaya","SBY",E633="Jakarta","JKT")</f>
        <v>BDG</v>
      </c>
      <c r="G633" s="27" t="s">
        <v>78</v>
      </c>
      <c r="H633" s="27" t="s">
        <v>123</v>
      </c>
      <c r="I633" s="27" t="s">
        <v>35</v>
      </c>
      <c r="J633" s="26">
        <v>44136</v>
      </c>
      <c r="K633" s="26">
        <v>43841</v>
      </c>
      <c r="L633" s="27">
        <f t="shared" si="56"/>
        <v>2</v>
      </c>
      <c r="M633" s="45">
        <v>208200</v>
      </c>
      <c r="N633" s="45">
        <v>335700</v>
      </c>
      <c r="O633" s="27">
        <v>192</v>
      </c>
      <c r="P633" s="46">
        <f t="shared" si="57"/>
        <v>0.37980339588918677</v>
      </c>
      <c r="Q633" s="27">
        <v>34</v>
      </c>
      <c r="R633" s="44">
        <f t="shared" si="54"/>
        <v>11413800</v>
      </c>
      <c r="S633" s="29">
        <v>7.0000000000000007E-2</v>
      </c>
      <c r="T633" s="44">
        <f t="shared" si="58"/>
        <v>10614834</v>
      </c>
      <c r="U633" s="44">
        <f t="shared" si="59"/>
        <v>3536034</v>
      </c>
      <c r="V633" s="44"/>
    </row>
    <row r="634" spans="1:22" ht="14.5" x14ac:dyDescent="0.35">
      <c r="A634" s="47" t="str">
        <f t="shared" si="55"/>
        <v>SBY-HS-E1036-2016</v>
      </c>
      <c r="B634" s="26">
        <v>42679</v>
      </c>
      <c r="C634" s="42">
        <v>2016</v>
      </c>
      <c r="D634" s="27" t="s">
        <v>213</v>
      </c>
      <c r="E634" s="27" t="s">
        <v>41</v>
      </c>
      <c r="F634" s="42" t="str" cm="1">
        <f t="array" ref="F634">_xlfn.IFS(E634="Bandung","BDG",E634="Surabaya","SBY",E634="Jakarta","JKT")</f>
        <v>SBY</v>
      </c>
      <c r="G634" s="27" t="s">
        <v>78</v>
      </c>
      <c r="H634" s="27" t="s">
        <v>214</v>
      </c>
      <c r="I634" s="27" t="s">
        <v>35</v>
      </c>
      <c r="J634" s="26">
        <v>42681</v>
      </c>
      <c r="K634" s="26">
        <v>42562</v>
      </c>
      <c r="L634" s="27">
        <f t="shared" si="56"/>
        <v>-117</v>
      </c>
      <c r="M634" s="45">
        <v>54750</v>
      </c>
      <c r="N634" s="45">
        <v>89700</v>
      </c>
      <c r="O634" s="27">
        <v>125</v>
      </c>
      <c r="P634" s="46">
        <f t="shared" si="57"/>
        <v>0.38963210702341139</v>
      </c>
      <c r="Q634" s="27">
        <v>14</v>
      </c>
      <c r="R634" s="44">
        <f t="shared" si="54"/>
        <v>1255800</v>
      </c>
      <c r="S634" s="29">
        <v>0.09</v>
      </c>
      <c r="T634" s="44">
        <f t="shared" si="58"/>
        <v>1142778</v>
      </c>
      <c r="U634" s="44">
        <f t="shared" si="59"/>
        <v>376278</v>
      </c>
      <c r="V634" s="44"/>
    </row>
    <row r="635" spans="1:22" ht="14.5" x14ac:dyDescent="0.35">
      <c r="A635" s="47" t="str">
        <f t="shared" si="55"/>
        <v>SBY-HS-E1036-2018</v>
      </c>
      <c r="B635" s="26">
        <v>43417</v>
      </c>
      <c r="C635" s="42">
        <v>2018</v>
      </c>
      <c r="D635" s="27" t="s">
        <v>213</v>
      </c>
      <c r="E635" s="27" t="s">
        <v>41</v>
      </c>
      <c r="F635" s="42" t="str" cm="1">
        <f t="array" ref="F635">_xlfn.IFS(E635="Bandung","BDG",E635="Surabaya","SBY",E635="Jakarta","JKT")</f>
        <v>SBY</v>
      </c>
      <c r="G635" s="27" t="s">
        <v>78</v>
      </c>
      <c r="H635" s="27" t="s">
        <v>267</v>
      </c>
      <c r="I635" s="27" t="s">
        <v>35</v>
      </c>
      <c r="J635" s="26">
        <v>43419</v>
      </c>
      <c r="K635" s="26">
        <v>43419</v>
      </c>
      <c r="L635" s="27">
        <f t="shared" si="56"/>
        <v>2</v>
      </c>
      <c r="M635" s="45">
        <v>631650</v>
      </c>
      <c r="N635" s="45">
        <v>1214700</v>
      </c>
      <c r="O635" s="27">
        <v>69</v>
      </c>
      <c r="P635" s="46">
        <f t="shared" si="57"/>
        <v>0.47999506050876761</v>
      </c>
      <c r="Q635" s="27">
        <v>22</v>
      </c>
      <c r="R635" s="44">
        <f t="shared" si="54"/>
        <v>26723400</v>
      </c>
      <c r="S635" s="29">
        <v>0.1</v>
      </c>
      <c r="T635" s="44">
        <f t="shared" si="58"/>
        <v>24051060</v>
      </c>
      <c r="U635" s="44">
        <f t="shared" si="59"/>
        <v>10154760</v>
      </c>
      <c r="V635" s="44"/>
    </row>
    <row r="636" spans="1:22" ht="14.5" x14ac:dyDescent="0.35">
      <c r="A636" s="47" t="str">
        <f t="shared" si="55"/>
        <v>SBY-HS-E1036-2019</v>
      </c>
      <c r="B636" s="26">
        <v>43563</v>
      </c>
      <c r="C636" s="42">
        <v>2019</v>
      </c>
      <c r="D636" s="27" t="s">
        <v>213</v>
      </c>
      <c r="E636" s="27" t="s">
        <v>41</v>
      </c>
      <c r="F636" s="42" t="str" cm="1">
        <f t="array" ref="F636">_xlfn.IFS(E636="Bandung","BDG",E636="Surabaya","SBY",E636="Jakarta","JKT")</f>
        <v>SBY</v>
      </c>
      <c r="G636" s="27" t="s">
        <v>78</v>
      </c>
      <c r="H636" s="27" t="s">
        <v>56</v>
      </c>
      <c r="I636" s="27" t="s">
        <v>39</v>
      </c>
      <c r="J636" s="26">
        <v>43712</v>
      </c>
      <c r="K636" s="26">
        <v>43564</v>
      </c>
      <c r="L636" s="27">
        <f t="shared" si="56"/>
        <v>1</v>
      </c>
      <c r="M636" s="45">
        <v>16350.000000000002</v>
      </c>
      <c r="N636" s="45">
        <v>25200</v>
      </c>
      <c r="O636" s="27">
        <v>95</v>
      </c>
      <c r="P636" s="46">
        <f t="shared" si="57"/>
        <v>0.35119047619047611</v>
      </c>
      <c r="Q636" s="27">
        <v>24</v>
      </c>
      <c r="R636" s="44">
        <f t="shared" si="54"/>
        <v>604800</v>
      </c>
      <c r="S636" s="29">
        <v>0.05</v>
      </c>
      <c r="T636" s="44">
        <f t="shared" si="58"/>
        <v>574560</v>
      </c>
      <c r="U636" s="44">
        <f t="shared" si="59"/>
        <v>182159.99999999994</v>
      </c>
      <c r="V636" s="44"/>
    </row>
    <row r="637" spans="1:22" ht="14.5" x14ac:dyDescent="0.35">
      <c r="A637" s="47" t="str">
        <f t="shared" si="55"/>
        <v>JKT-HP-E1029-2020</v>
      </c>
      <c r="B637" s="26">
        <v>43908</v>
      </c>
      <c r="C637" s="42">
        <v>2020</v>
      </c>
      <c r="D637" s="27" t="s">
        <v>726</v>
      </c>
      <c r="E637" s="27" t="s">
        <v>32</v>
      </c>
      <c r="F637" s="42" t="str" cm="1">
        <f t="array" ref="F637">_xlfn.IFS(E637="Bandung","BDG",E637="Surabaya","SBY",E637="Jakarta","JKT")</f>
        <v>JKT</v>
      </c>
      <c r="G637" s="27" t="s">
        <v>37</v>
      </c>
      <c r="H637" s="27" t="s">
        <v>99</v>
      </c>
      <c r="I637" s="27" t="s">
        <v>35</v>
      </c>
      <c r="J637" s="26">
        <v>43909</v>
      </c>
      <c r="K637" s="26">
        <v>43909</v>
      </c>
      <c r="L637" s="27">
        <f t="shared" si="56"/>
        <v>1</v>
      </c>
      <c r="M637" s="45">
        <v>95850</v>
      </c>
      <c r="N637" s="45">
        <v>299700</v>
      </c>
      <c r="O637" s="27">
        <v>218</v>
      </c>
      <c r="P637" s="46">
        <f t="shared" si="57"/>
        <v>0.68018018018018023</v>
      </c>
      <c r="Q637" s="27">
        <v>29</v>
      </c>
      <c r="R637" s="44">
        <f t="shared" si="54"/>
        <v>8691300</v>
      </c>
      <c r="S637" s="29">
        <v>0.06</v>
      </c>
      <c r="T637" s="44">
        <f t="shared" si="58"/>
        <v>8169822</v>
      </c>
      <c r="U637" s="44">
        <f t="shared" si="59"/>
        <v>5390172</v>
      </c>
      <c r="V637" s="44"/>
    </row>
    <row r="638" spans="1:22" ht="14.5" x14ac:dyDescent="0.35">
      <c r="A638" s="47" t="str">
        <f t="shared" si="55"/>
        <v>SBY-HH-E1033-2016</v>
      </c>
      <c r="B638" s="26">
        <v>42698</v>
      </c>
      <c r="C638" s="42">
        <v>2016</v>
      </c>
      <c r="D638" s="27" t="s">
        <v>242</v>
      </c>
      <c r="E638" s="27" t="s">
        <v>41</v>
      </c>
      <c r="F638" s="42" t="str" cm="1">
        <f t="array" ref="F638">_xlfn.IFS(E638="Bandung","BDG",E638="Surabaya","SBY",E638="Jakarta","JKT")</f>
        <v>SBY</v>
      </c>
      <c r="G638" s="27" t="s">
        <v>60</v>
      </c>
      <c r="H638" s="27" t="s">
        <v>243</v>
      </c>
      <c r="I638" s="27" t="s">
        <v>35</v>
      </c>
      <c r="J638" s="26">
        <v>42700</v>
      </c>
      <c r="K638" s="26">
        <v>42700</v>
      </c>
      <c r="L638" s="27">
        <f t="shared" si="56"/>
        <v>2</v>
      </c>
      <c r="M638" s="45">
        <v>1015950.0000000001</v>
      </c>
      <c r="N638" s="45">
        <v>2478000</v>
      </c>
      <c r="O638" s="27">
        <v>92</v>
      </c>
      <c r="P638" s="46">
        <f t="shared" si="57"/>
        <v>0.59001210653753022</v>
      </c>
      <c r="Q638" s="27">
        <v>37</v>
      </c>
      <c r="R638" s="44">
        <f t="shared" si="54"/>
        <v>91686000</v>
      </c>
      <c r="S638" s="29">
        <v>0.04</v>
      </c>
      <c r="T638" s="44">
        <f t="shared" si="58"/>
        <v>88018560</v>
      </c>
      <c r="U638" s="44">
        <f t="shared" si="59"/>
        <v>50428409.999999993</v>
      </c>
      <c r="V638" s="44"/>
    </row>
    <row r="639" spans="1:22" ht="14.5" x14ac:dyDescent="0.35">
      <c r="A639" s="47" t="str">
        <f t="shared" si="55"/>
        <v>JKT-HJ-E1029-2017</v>
      </c>
      <c r="B639" s="26">
        <v>42743</v>
      </c>
      <c r="C639" s="42">
        <v>2017</v>
      </c>
      <c r="D639" s="27" t="s">
        <v>275</v>
      </c>
      <c r="E639" s="27" t="s">
        <v>32</v>
      </c>
      <c r="F639" s="42" t="str" cm="1">
        <f t="array" ref="F639">_xlfn.IFS(E639="Bandung","BDG",E639="Surabaya","SBY",E639="Jakarta","JKT")</f>
        <v>JKT</v>
      </c>
      <c r="G639" s="27" t="s">
        <v>37</v>
      </c>
      <c r="H639" s="27" t="s">
        <v>276</v>
      </c>
      <c r="I639" s="27" t="s">
        <v>35</v>
      </c>
      <c r="J639" s="26">
        <v>43009</v>
      </c>
      <c r="K639" s="26">
        <v>42745</v>
      </c>
      <c r="L639" s="27">
        <f t="shared" si="56"/>
        <v>2</v>
      </c>
      <c r="M639" s="45">
        <v>224250</v>
      </c>
      <c r="N639" s="45">
        <v>521399.99999999994</v>
      </c>
      <c r="O639" s="27">
        <v>102</v>
      </c>
      <c r="P639" s="46">
        <f t="shared" si="57"/>
        <v>0.56990794016110469</v>
      </c>
      <c r="Q639" s="27">
        <v>15</v>
      </c>
      <c r="R639" s="44">
        <f t="shared" si="54"/>
        <v>7820999.9999999991</v>
      </c>
      <c r="S639" s="29">
        <v>0.09</v>
      </c>
      <c r="T639" s="44">
        <f t="shared" si="58"/>
        <v>7117109.9999999991</v>
      </c>
      <c r="U639" s="44">
        <f t="shared" si="59"/>
        <v>3753359.9999999991</v>
      </c>
      <c r="V639" s="44"/>
    </row>
    <row r="640" spans="1:22" ht="14.5" x14ac:dyDescent="0.35">
      <c r="A640" s="47" t="str">
        <f t="shared" si="55"/>
        <v>JKT-HJ-E1029-2019</v>
      </c>
      <c r="B640" s="26">
        <v>43767</v>
      </c>
      <c r="C640" s="42">
        <v>2019</v>
      </c>
      <c r="D640" s="27" t="s">
        <v>275</v>
      </c>
      <c r="E640" s="27" t="s">
        <v>32</v>
      </c>
      <c r="F640" s="42" t="str" cm="1">
        <f t="array" ref="F640">_xlfn.IFS(E640="Bandung","BDG",E640="Surabaya","SBY",E640="Jakarta","JKT")</f>
        <v>JKT</v>
      </c>
      <c r="G640" s="27" t="s">
        <v>37</v>
      </c>
      <c r="H640" s="27" t="s">
        <v>101</v>
      </c>
      <c r="I640" s="27" t="s">
        <v>35</v>
      </c>
      <c r="J640" s="26" t="s">
        <v>1758</v>
      </c>
      <c r="K640" s="26">
        <v>43769</v>
      </c>
      <c r="L640" s="27">
        <f t="shared" si="56"/>
        <v>2</v>
      </c>
      <c r="M640" s="45">
        <v>480300.00000000006</v>
      </c>
      <c r="N640" s="45">
        <v>2287200</v>
      </c>
      <c r="O640" s="27">
        <v>187</v>
      </c>
      <c r="P640" s="46">
        <f t="shared" si="57"/>
        <v>0.79000524658971671</v>
      </c>
      <c r="Q640" s="27">
        <v>2</v>
      </c>
      <c r="R640" s="44">
        <f t="shared" si="54"/>
        <v>4574400</v>
      </c>
      <c r="S640" s="29">
        <v>0.03</v>
      </c>
      <c r="T640" s="44">
        <f t="shared" si="58"/>
        <v>4437168</v>
      </c>
      <c r="U640" s="44">
        <f t="shared" si="59"/>
        <v>3476568</v>
      </c>
      <c r="V640" s="44"/>
    </row>
    <row r="641" spans="1:22" ht="14.5" x14ac:dyDescent="0.35">
      <c r="A641" s="47" t="str">
        <f t="shared" si="55"/>
        <v>SBY-HU-E1039-2018</v>
      </c>
      <c r="B641" s="26">
        <v>43304</v>
      </c>
      <c r="C641" s="42">
        <v>2018</v>
      </c>
      <c r="D641" s="27" t="s">
        <v>568</v>
      </c>
      <c r="E641" s="27" t="s">
        <v>41</v>
      </c>
      <c r="F641" s="42" t="str" cm="1">
        <f t="array" ref="F641">_xlfn.IFS(E641="Bandung","BDG",E641="Surabaya","SBY",E641="Jakarta","JKT")</f>
        <v>SBY</v>
      </c>
      <c r="G641" s="27" t="s">
        <v>103</v>
      </c>
      <c r="H641" s="27" t="s">
        <v>569</v>
      </c>
      <c r="I641" s="27" t="s">
        <v>35</v>
      </c>
      <c r="J641" s="26">
        <v>43307</v>
      </c>
      <c r="K641" s="26">
        <v>43307</v>
      </c>
      <c r="L641" s="27">
        <f t="shared" si="56"/>
        <v>3</v>
      </c>
      <c r="M641" s="45">
        <v>52950</v>
      </c>
      <c r="N641" s="45">
        <v>129299.99999999999</v>
      </c>
      <c r="O641" s="27">
        <v>58</v>
      </c>
      <c r="P641" s="46">
        <f t="shared" si="57"/>
        <v>0.59048723897911826</v>
      </c>
      <c r="Q641" s="27">
        <v>50</v>
      </c>
      <c r="R641" s="44">
        <f t="shared" si="54"/>
        <v>6464999.9999999991</v>
      </c>
      <c r="S641" s="29">
        <v>7.0000000000000007E-2</v>
      </c>
      <c r="T641" s="44">
        <f t="shared" si="58"/>
        <v>6012449.9999999991</v>
      </c>
      <c r="U641" s="44">
        <f t="shared" si="59"/>
        <v>3364949.9999999991</v>
      </c>
      <c r="V641" s="44"/>
    </row>
    <row r="642" spans="1:22" ht="14.5" x14ac:dyDescent="0.35">
      <c r="A642" s="47" t="str">
        <f t="shared" si="55"/>
        <v>SBY-GR-E1033-2016</v>
      </c>
      <c r="B642" s="26">
        <v>42528</v>
      </c>
      <c r="C642" s="42">
        <v>2016</v>
      </c>
      <c r="D642" s="27" t="s">
        <v>59</v>
      </c>
      <c r="E642" s="27" t="s">
        <v>41</v>
      </c>
      <c r="F642" s="42" t="str" cm="1">
        <f t="array" ref="F642">_xlfn.IFS(E642="Bandung","BDG",E642="Surabaya","SBY",E642="Jakarta","JKT")</f>
        <v>SBY</v>
      </c>
      <c r="G642" s="27" t="s">
        <v>60</v>
      </c>
      <c r="H642" s="27" t="s">
        <v>61</v>
      </c>
      <c r="I642" s="27" t="s">
        <v>35</v>
      </c>
      <c r="J642" s="26">
        <v>42528</v>
      </c>
      <c r="K642" s="26">
        <v>42557</v>
      </c>
      <c r="L642" s="27">
        <f t="shared" si="56"/>
        <v>29</v>
      </c>
      <c r="M642" s="45">
        <v>79950</v>
      </c>
      <c r="N642" s="45">
        <v>129000</v>
      </c>
      <c r="O642" s="27">
        <v>85</v>
      </c>
      <c r="P642" s="46">
        <f t="shared" si="57"/>
        <v>0.38023255813953488</v>
      </c>
      <c r="Q642" s="27">
        <v>48</v>
      </c>
      <c r="R642" s="44">
        <f t="shared" si="54"/>
        <v>6192000</v>
      </c>
      <c r="S642" s="29">
        <v>0</v>
      </c>
      <c r="T642" s="44">
        <f t="shared" si="58"/>
        <v>6192000</v>
      </c>
      <c r="U642" s="44">
        <f t="shared" si="59"/>
        <v>2354400</v>
      </c>
      <c r="V642" s="44"/>
    </row>
    <row r="643" spans="1:22" ht="14.5" x14ac:dyDescent="0.35">
      <c r="A643" s="47" t="str">
        <f t="shared" si="55"/>
        <v>SBY-GR-E1033-2018</v>
      </c>
      <c r="B643" s="26">
        <v>43160</v>
      </c>
      <c r="C643" s="42">
        <v>2018</v>
      </c>
      <c r="D643" s="27" t="s">
        <v>59</v>
      </c>
      <c r="E643" s="27" t="s">
        <v>41</v>
      </c>
      <c r="F643" s="42" t="str" cm="1">
        <f t="array" ref="F643">_xlfn.IFS(E643="Bandung","BDG",E643="Surabaya","SBY",E643="Jakarta","JKT")</f>
        <v>SBY</v>
      </c>
      <c r="G643" s="27" t="s">
        <v>60</v>
      </c>
      <c r="H643" s="27" t="s">
        <v>241</v>
      </c>
      <c r="I643" s="27" t="s">
        <v>39</v>
      </c>
      <c r="J643" s="26">
        <v>43162</v>
      </c>
      <c r="K643" s="26">
        <v>43162</v>
      </c>
      <c r="L643" s="27">
        <f t="shared" si="56"/>
        <v>2</v>
      </c>
      <c r="M643" s="45">
        <v>13950</v>
      </c>
      <c r="N643" s="45">
        <v>22200</v>
      </c>
      <c r="O643" s="27">
        <v>46</v>
      </c>
      <c r="P643" s="46">
        <f t="shared" si="57"/>
        <v>0.3716216216216216</v>
      </c>
      <c r="Q643" s="27">
        <v>28</v>
      </c>
      <c r="R643" s="44">
        <f t="shared" si="54"/>
        <v>621600</v>
      </c>
      <c r="S643" s="29">
        <v>0.04</v>
      </c>
      <c r="T643" s="44">
        <f t="shared" si="58"/>
        <v>596736</v>
      </c>
      <c r="U643" s="44">
        <f t="shared" si="59"/>
        <v>206136</v>
      </c>
      <c r="V643" s="44"/>
    </row>
    <row r="644" spans="1:22" ht="14.5" x14ac:dyDescent="0.35">
      <c r="A644" s="47" t="str">
        <f t="shared" si="55"/>
        <v>JKT-GU-E1029-2017</v>
      </c>
      <c r="B644" s="26">
        <v>42795</v>
      </c>
      <c r="C644" s="42">
        <v>2017</v>
      </c>
      <c r="D644" s="27" t="s">
        <v>315</v>
      </c>
      <c r="E644" s="27" t="s">
        <v>32</v>
      </c>
      <c r="F644" s="42" t="str" cm="1">
        <f t="array" ref="F644">_xlfn.IFS(E644="Bandung","BDG",E644="Surabaya","SBY",E644="Jakarta","JKT")</f>
        <v>JKT</v>
      </c>
      <c r="G644" s="27" t="s">
        <v>37</v>
      </c>
      <c r="H644" s="27" t="s">
        <v>256</v>
      </c>
      <c r="I644" s="27" t="s">
        <v>35</v>
      </c>
      <c r="J644" s="26">
        <v>42795</v>
      </c>
      <c r="K644" s="26">
        <v>42738</v>
      </c>
      <c r="L644" s="27">
        <f t="shared" si="56"/>
        <v>-57</v>
      </c>
      <c r="M644" s="45">
        <v>36750</v>
      </c>
      <c r="N644" s="45">
        <v>58350</v>
      </c>
      <c r="O644" s="27">
        <v>81</v>
      </c>
      <c r="P644" s="46">
        <f t="shared" si="57"/>
        <v>0.37017994858611825</v>
      </c>
      <c r="Q644" s="27">
        <v>47</v>
      </c>
      <c r="R644" s="44">
        <f t="shared" ref="R644:R707" si="60">N644*Q644</f>
        <v>2742450</v>
      </c>
      <c r="S644" s="29">
        <v>0</v>
      </c>
      <c r="T644" s="44">
        <f t="shared" si="58"/>
        <v>2742450</v>
      </c>
      <c r="U644" s="44">
        <f t="shared" si="59"/>
        <v>1015200</v>
      </c>
      <c r="V644" s="44"/>
    </row>
    <row r="645" spans="1:22" ht="14.5" x14ac:dyDescent="0.35">
      <c r="A645" s="47" t="str">
        <f t="shared" ref="A645:A708" si="61">_xlfn.CONCAT(F645,"-",LEFT(D645,1),MID(D645,FIND(" ",D645)+1,1),"-",G645,"-",C645)</f>
        <v>SBY-GI-E1036-2019</v>
      </c>
      <c r="B645" s="26">
        <v>43662</v>
      </c>
      <c r="C645" s="42">
        <v>2019</v>
      </c>
      <c r="D645" s="27" t="s">
        <v>674</v>
      </c>
      <c r="E645" s="27" t="s">
        <v>41</v>
      </c>
      <c r="F645" s="42" t="str" cm="1">
        <f t="array" ref="F645">_xlfn.IFS(E645="Bandung","BDG",E645="Surabaya","SBY",E645="Jakarta","JKT")</f>
        <v>SBY</v>
      </c>
      <c r="G645" s="27" t="s">
        <v>78</v>
      </c>
      <c r="H645" s="27" t="s">
        <v>123</v>
      </c>
      <c r="I645" s="27" t="s">
        <v>35</v>
      </c>
      <c r="J645" s="26">
        <v>43670</v>
      </c>
      <c r="K645" s="26">
        <v>43670</v>
      </c>
      <c r="L645" s="27">
        <f t="shared" ref="L645:L708" si="62">K645-B645</f>
        <v>8</v>
      </c>
      <c r="M645" s="45">
        <v>208200</v>
      </c>
      <c r="N645" s="45">
        <v>335700</v>
      </c>
      <c r="O645" s="27">
        <v>158</v>
      </c>
      <c r="P645" s="46">
        <f t="shared" ref="P645:P708" si="63">(N645-M645)/N645</f>
        <v>0.37980339588918677</v>
      </c>
      <c r="Q645" s="27">
        <v>16</v>
      </c>
      <c r="R645" s="44">
        <f t="shared" si="60"/>
        <v>5371200</v>
      </c>
      <c r="S645" s="29">
        <v>0.09</v>
      </c>
      <c r="T645" s="44">
        <f t="shared" ref="T645:T708" si="64">R645*(1-S645)</f>
        <v>4887792</v>
      </c>
      <c r="U645" s="44">
        <f t="shared" ref="U645:U708" si="65">T645-(M645*Q645)</f>
        <v>1556592</v>
      </c>
      <c r="V645" s="44"/>
    </row>
    <row r="646" spans="1:22" ht="14.5" x14ac:dyDescent="0.35">
      <c r="A646" s="47" t="str">
        <f t="shared" si="61"/>
        <v>JKT-GW-E1028-2017</v>
      </c>
      <c r="B646" s="26">
        <v>43050</v>
      </c>
      <c r="C646" s="42">
        <v>2017</v>
      </c>
      <c r="D646" s="27" t="s">
        <v>462</v>
      </c>
      <c r="E646" s="27" t="s">
        <v>32</v>
      </c>
      <c r="F646" s="42" t="str" cm="1">
        <f t="array" ref="F646">_xlfn.IFS(E646="Bandung","BDG",E646="Surabaya","SBY",E646="Jakarta","JKT")</f>
        <v>JKT</v>
      </c>
      <c r="G646" s="27" t="s">
        <v>33</v>
      </c>
      <c r="H646" s="27" t="s">
        <v>449</v>
      </c>
      <c r="I646" s="27" t="s">
        <v>35</v>
      </c>
      <c r="J646" s="26">
        <v>43051</v>
      </c>
      <c r="K646" s="26">
        <v>43080</v>
      </c>
      <c r="L646" s="27">
        <f t="shared" si="62"/>
        <v>30</v>
      </c>
      <c r="M646" s="45">
        <v>27600</v>
      </c>
      <c r="N646" s="45">
        <v>43200</v>
      </c>
      <c r="O646" s="27">
        <v>29</v>
      </c>
      <c r="P646" s="46">
        <f t="shared" si="63"/>
        <v>0.3611111111111111</v>
      </c>
      <c r="Q646" s="27">
        <v>11</v>
      </c>
      <c r="R646" s="44">
        <f t="shared" si="60"/>
        <v>475200</v>
      </c>
      <c r="S646" s="29">
        <v>0.02</v>
      </c>
      <c r="T646" s="44">
        <f t="shared" si="64"/>
        <v>465696</v>
      </c>
      <c r="U646" s="44">
        <f t="shared" si="65"/>
        <v>162096</v>
      </c>
      <c r="V646" s="44"/>
    </row>
    <row r="647" spans="1:22" ht="14.5" x14ac:dyDescent="0.35">
      <c r="A647" s="47" t="str">
        <f t="shared" si="61"/>
        <v>SBY-GS-E1034-2017</v>
      </c>
      <c r="B647" s="26">
        <v>43003</v>
      </c>
      <c r="C647" s="42">
        <v>2017</v>
      </c>
      <c r="D647" s="27" t="s">
        <v>432</v>
      </c>
      <c r="E647" s="27" t="s">
        <v>41</v>
      </c>
      <c r="F647" s="42" t="str" cm="1">
        <f t="array" ref="F647">_xlfn.IFS(E647="Bandung","BDG",E647="Surabaya","SBY",E647="Jakarta","JKT")</f>
        <v>SBY</v>
      </c>
      <c r="G647" s="27" t="s">
        <v>65</v>
      </c>
      <c r="H647" s="27" t="s">
        <v>171</v>
      </c>
      <c r="I647" s="27" t="s">
        <v>35</v>
      </c>
      <c r="J647" s="26">
        <v>42835</v>
      </c>
      <c r="K647" s="26">
        <v>43012</v>
      </c>
      <c r="L647" s="27">
        <f t="shared" si="62"/>
        <v>9</v>
      </c>
      <c r="M647" s="45">
        <v>297450</v>
      </c>
      <c r="N647" s="45">
        <v>464700</v>
      </c>
      <c r="O647" s="27">
        <v>95</v>
      </c>
      <c r="P647" s="46">
        <f t="shared" si="63"/>
        <v>0.35990961910910263</v>
      </c>
      <c r="Q647" s="27">
        <v>46</v>
      </c>
      <c r="R647" s="44">
        <f t="shared" si="60"/>
        <v>21376200</v>
      </c>
      <c r="S647" s="29">
        <v>0.04</v>
      </c>
      <c r="T647" s="44">
        <f t="shared" si="64"/>
        <v>20521152</v>
      </c>
      <c r="U647" s="44">
        <f t="shared" si="65"/>
        <v>6838452</v>
      </c>
      <c r="V647" s="44"/>
    </row>
    <row r="648" spans="1:22" ht="14.5" x14ac:dyDescent="0.35">
      <c r="A648" s="47" t="str">
        <f t="shared" si="61"/>
        <v>SBY-GS-E1034-2018</v>
      </c>
      <c r="B648" s="26">
        <v>43409</v>
      </c>
      <c r="C648" s="42">
        <v>2018</v>
      </c>
      <c r="D648" s="27" t="s">
        <v>432</v>
      </c>
      <c r="E648" s="27" t="s">
        <v>41</v>
      </c>
      <c r="F648" s="42" t="str" cm="1">
        <f t="array" ref="F648">_xlfn.IFS(E648="Bandung","BDG",E648="Surabaya","SBY",E648="Jakarta","JKT")</f>
        <v>SBY</v>
      </c>
      <c r="G648" s="27" t="s">
        <v>65</v>
      </c>
      <c r="H648" s="27" t="s">
        <v>311</v>
      </c>
      <c r="I648" s="27" t="s">
        <v>39</v>
      </c>
      <c r="J648" s="26">
        <v>43292</v>
      </c>
      <c r="K648" s="26">
        <v>43411</v>
      </c>
      <c r="L648" s="27">
        <f t="shared" si="62"/>
        <v>2</v>
      </c>
      <c r="M648" s="45">
        <v>26400</v>
      </c>
      <c r="N648" s="45">
        <v>44100</v>
      </c>
      <c r="O648" s="27">
        <v>61</v>
      </c>
      <c r="P648" s="46">
        <f t="shared" si="63"/>
        <v>0.40136054421768708</v>
      </c>
      <c r="Q648" s="27">
        <v>35</v>
      </c>
      <c r="R648" s="44">
        <f t="shared" si="60"/>
        <v>1543500</v>
      </c>
      <c r="S648" s="29">
        <v>0.09</v>
      </c>
      <c r="T648" s="44">
        <f t="shared" si="64"/>
        <v>1404585</v>
      </c>
      <c r="U648" s="44">
        <f t="shared" si="65"/>
        <v>480585</v>
      </c>
      <c r="V648" s="44"/>
    </row>
    <row r="649" spans="1:22" ht="14.5" x14ac:dyDescent="0.35">
      <c r="A649" s="47" t="str">
        <f t="shared" si="61"/>
        <v>JKT-GK-E1028-2017</v>
      </c>
      <c r="B649" s="26">
        <v>43056</v>
      </c>
      <c r="C649" s="42">
        <v>2017</v>
      </c>
      <c r="D649" s="27" t="s">
        <v>466</v>
      </c>
      <c r="E649" s="27" t="s">
        <v>32</v>
      </c>
      <c r="F649" s="42" t="str" cm="1">
        <f t="array" ref="F649">_xlfn.IFS(E649="Bandung","BDG",E649="Surabaya","SBY",E649="Jakarta","JKT")</f>
        <v>JKT</v>
      </c>
      <c r="G649" s="27" t="s">
        <v>33</v>
      </c>
      <c r="H649" s="27" t="s">
        <v>51</v>
      </c>
      <c r="I649" s="27" t="s">
        <v>39</v>
      </c>
      <c r="J649" s="26">
        <v>43058</v>
      </c>
      <c r="K649" s="26">
        <v>43058</v>
      </c>
      <c r="L649" s="27">
        <f t="shared" si="62"/>
        <v>2</v>
      </c>
      <c r="M649" s="45">
        <v>16350.000000000002</v>
      </c>
      <c r="N649" s="45">
        <v>39000</v>
      </c>
      <c r="O649" s="27">
        <v>126</v>
      </c>
      <c r="P649" s="46">
        <f t="shared" si="63"/>
        <v>0.58076923076923082</v>
      </c>
      <c r="Q649" s="27">
        <v>43</v>
      </c>
      <c r="R649" s="44">
        <f t="shared" si="60"/>
        <v>1677000</v>
      </c>
      <c r="S649" s="29">
        <v>0.06</v>
      </c>
      <c r="T649" s="44">
        <f t="shared" si="64"/>
        <v>1576380</v>
      </c>
      <c r="U649" s="44">
        <f t="shared" si="65"/>
        <v>873329.99999999988</v>
      </c>
      <c r="V649" s="44"/>
    </row>
    <row r="650" spans="1:22" ht="14.5" x14ac:dyDescent="0.35">
      <c r="A650" s="47" t="str">
        <f t="shared" si="61"/>
        <v>JKT-GK-E1028-2019</v>
      </c>
      <c r="B650" s="26">
        <v>43802</v>
      </c>
      <c r="C650" s="42">
        <v>2019</v>
      </c>
      <c r="D650" s="27" t="s">
        <v>466</v>
      </c>
      <c r="E650" s="27" t="s">
        <v>32</v>
      </c>
      <c r="F650" s="42" t="str" cm="1">
        <f t="array" ref="F650">_xlfn.IFS(E650="Bandung","BDG",E650="Surabaya","SBY",E650="Jakarta","JKT")</f>
        <v>JKT</v>
      </c>
      <c r="G650" s="27" t="s">
        <v>33</v>
      </c>
      <c r="H650" s="27" t="s">
        <v>343</v>
      </c>
      <c r="I650" s="27" t="s">
        <v>39</v>
      </c>
      <c r="J650" s="26">
        <v>43807</v>
      </c>
      <c r="K650" s="26">
        <v>43689</v>
      </c>
      <c r="L650" s="27">
        <f t="shared" si="62"/>
        <v>-113</v>
      </c>
      <c r="M650" s="45">
        <v>34650</v>
      </c>
      <c r="N650" s="45">
        <v>56700</v>
      </c>
      <c r="O650" s="27">
        <v>141</v>
      </c>
      <c r="P650" s="46">
        <f t="shared" si="63"/>
        <v>0.3888888888888889</v>
      </c>
      <c r="Q650" s="27">
        <v>28</v>
      </c>
      <c r="R650" s="44">
        <f t="shared" si="60"/>
        <v>1587600</v>
      </c>
      <c r="S650" s="29">
        <v>0.06</v>
      </c>
      <c r="T650" s="44">
        <f t="shared" si="64"/>
        <v>1492344</v>
      </c>
      <c r="U650" s="44">
        <f t="shared" si="65"/>
        <v>522144</v>
      </c>
      <c r="V650" s="44"/>
    </row>
    <row r="651" spans="1:22" ht="14.5" x14ac:dyDescent="0.35">
      <c r="A651" s="47" t="str">
        <f t="shared" si="61"/>
        <v>SBY-GP-E1031-2016</v>
      </c>
      <c r="B651" s="26">
        <v>42625</v>
      </c>
      <c r="C651" s="42">
        <v>2016</v>
      </c>
      <c r="D651" s="27" t="s">
        <v>151</v>
      </c>
      <c r="E651" s="27" t="s">
        <v>41</v>
      </c>
      <c r="F651" s="42" t="str" cm="1">
        <f t="array" ref="F651">_xlfn.IFS(E651="Bandung","BDG",E651="Surabaya","SBY",E651="Jakarta","JKT")</f>
        <v>SBY</v>
      </c>
      <c r="G651" s="27" t="s">
        <v>48</v>
      </c>
      <c r="H651" s="27" t="s">
        <v>152</v>
      </c>
      <c r="I651" s="27" t="s">
        <v>35</v>
      </c>
      <c r="J651" s="26">
        <v>42713</v>
      </c>
      <c r="K651" s="26">
        <v>42625</v>
      </c>
      <c r="L651" s="27">
        <f t="shared" si="62"/>
        <v>0</v>
      </c>
      <c r="M651" s="45">
        <v>133800</v>
      </c>
      <c r="N651" s="45">
        <v>446100</v>
      </c>
      <c r="O651" s="27">
        <v>67</v>
      </c>
      <c r="P651" s="46">
        <f t="shared" si="63"/>
        <v>0.70006724949562882</v>
      </c>
      <c r="Q651" s="27">
        <v>14</v>
      </c>
      <c r="R651" s="44">
        <f t="shared" si="60"/>
        <v>6245400</v>
      </c>
      <c r="S651" s="29">
        <v>0.02</v>
      </c>
      <c r="T651" s="44">
        <f t="shared" si="64"/>
        <v>6120492</v>
      </c>
      <c r="U651" s="44">
        <f t="shared" si="65"/>
        <v>4247292</v>
      </c>
      <c r="V651" s="44"/>
    </row>
    <row r="652" spans="1:22" ht="14.5" x14ac:dyDescent="0.35">
      <c r="A652" s="47" t="str">
        <f t="shared" si="61"/>
        <v>SBY-GP-E1031-2017</v>
      </c>
      <c r="B652" s="26">
        <v>42909</v>
      </c>
      <c r="C652" s="42">
        <v>2017</v>
      </c>
      <c r="D652" s="27" t="s">
        <v>151</v>
      </c>
      <c r="E652" s="27" t="s">
        <v>41</v>
      </c>
      <c r="F652" s="42" t="str" cm="1">
        <f t="array" ref="F652">_xlfn.IFS(E652="Bandung","BDG",E652="Surabaya","SBY",E652="Jakarta","JKT")</f>
        <v>SBY</v>
      </c>
      <c r="G652" s="27" t="s">
        <v>48</v>
      </c>
      <c r="H652" s="27" t="s">
        <v>386</v>
      </c>
      <c r="I652" s="27" t="s">
        <v>35</v>
      </c>
      <c r="J652" s="26">
        <v>42910</v>
      </c>
      <c r="K652" s="26">
        <v>42910</v>
      </c>
      <c r="L652" s="27">
        <f t="shared" si="62"/>
        <v>1</v>
      </c>
      <c r="M652" s="45">
        <v>780600</v>
      </c>
      <c r="N652" s="45">
        <v>1258950</v>
      </c>
      <c r="O652" s="27">
        <v>53</v>
      </c>
      <c r="P652" s="46">
        <f t="shared" si="63"/>
        <v>0.3799594900512332</v>
      </c>
      <c r="Q652" s="27">
        <v>50</v>
      </c>
      <c r="R652" s="44">
        <f t="shared" si="60"/>
        <v>62947500</v>
      </c>
      <c r="S652" s="29">
        <v>0.1</v>
      </c>
      <c r="T652" s="44">
        <f t="shared" si="64"/>
        <v>56652750</v>
      </c>
      <c r="U652" s="44">
        <f t="shared" si="65"/>
        <v>17622750</v>
      </c>
      <c r="V652" s="44"/>
    </row>
    <row r="653" spans="1:22" ht="14.5" x14ac:dyDescent="0.35">
      <c r="A653" s="47" t="str">
        <f t="shared" si="61"/>
        <v>SBY-GA-E1036-2016</v>
      </c>
      <c r="B653" s="26">
        <v>42613</v>
      </c>
      <c r="C653" s="42">
        <v>2016</v>
      </c>
      <c r="D653" s="27" t="s">
        <v>128</v>
      </c>
      <c r="E653" s="27" t="s">
        <v>41</v>
      </c>
      <c r="F653" s="42" t="str" cm="1">
        <f t="array" ref="F653">_xlfn.IFS(E653="Bandung","BDG",E653="Surabaya","SBY",E653="Jakarta","JKT")</f>
        <v>SBY</v>
      </c>
      <c r="G653" s="27" t="s">
        <v>78</v>
      </c>
      <c r="H653" s="27" t="s">
        <v>129</v>
      </c>
      <c r="I653" s="27" t="s">
        <v>120</v>
      </c>
      <c r="J653" s="26">
        <v>42378</v>
      </c>
      <c r="K653" s="26">
        <v>42614</v>
      </c>
      <c r="L653" s="27">
        <f t="shared" si="62"/>
        <v>1</v>
      </c>
      <c r="M653" s="45">
        <v>148650</v>
      </c>
      <c r="N653" s="45">
        <v>239850</v>
      </c>
      <c r="O653" s="27">
        <v>34</v>
      </c>
      <c r="P653" s="46">
        <f t="shared" si="63"/>
        <v>0.38023764853033148</v>
      </c>
      <c r="Q653" s="27">
        <v>7</v>
      </c>
      <c r="R653" s="44">
        <f t="shared" si="60"/>
        <v>1678950</v>
      </c>
      <c r="S653" s="29">
        <v>0.03</v>
      </c>
      <c r="T653" s="44">
        <f t="shared" si="64"/>
        <v>1628581.5</v>
      </c>
      <c r="U653" s="44">
        <f t="shared" si="65"/>
        <v>588031.5</v>
      </c>
      <c r="V653" s="44"/>
    </row>
    <row r="654" spans="1:22" ht="14.5" x14ac:dyDescent="0.35">
      <c r="A654" s="47" t="str">
        <f t="shared" si="61"/>
        <v>SBY-GA-E1036-2017</v>
      </c>
      <c r="B654" s="26">
        <v>43063</v>
      </c>
      <c r="C654" s="42">
        <v>2017</v>
      </c>
      <c r="D654" s="27" t="s">
        <v>128</v>
      </c>
      <c r="E654" s="27" t="s">
        <v>41</v>
      </c>
      <c r="F654" s="42" t="str" cm="1">
        <f t="array" ref="F654">_xlfn.IFS(E654="Bandung","BDG",E654="Surabaya","SBY",E654="Jakarta","JKT")</f>
        <v>SBY</v>
      </c>
      <c r="G654" s="27" t="s">
        <v>78</v>
      </c>
      <c r="H654" s="27" t="s">
        <v>99</v>
      </c>
      <c r="I654" s="27" t="s">
        <v>35</v>
      </c>
      <c r="J654" s="26">
        <v>43070</v>
      </c>
      <c r="K654" s="26">
        <v>42747</v>
      </c>
      <c r="L654" s="27">
        <f t="shared" si="62"/>
        <v>-316</v>
      </c>
      <c r="M654" s="45">
        <v>95850</v>
      </c>
      <c r="N654" s="45">
        <v>299700</v>
      </c>
      <c r="O654" s="27">
        <v>189</v>
      </c>
      <c r="P654" s="46">
        <f t="shared" si="63"/>
        <v>0.68018018018018023</v>
      </c>
      <c r="Q654" s="27">
        <v>5</v>
      </c>
      <c r="R654" s="44">
        <f t="shared" si="60"/>
        <v>1498500</v>
      </c>
      <c r="S654" s="29">
        <v>0.09</v>
      </c>
      <c r="T654" s="44">
        <f t="shared" si="64"/>
        <v>1363635</v>
      </c>
      <c r="U654" s="44">
        <f t="shared" si="65"/>
        <v>884385</v>
      </c>
      <c r="V654" s="44"/>
    </row>
    <row r="655" spans="1:22" ht="14.5" x14ac:dyDescent="0.35">
      <c r="A655" s="47" t="str">
        <f t="shared" si="61"/>
        <v>SBY-GA-E1036-2018</v>
      </c>
      <c r="B655" s="26">
        <v>43239</v>
      </c>
      <c r="C655" s="42">
        <v>2018</v>
      </c>
      <c r="D655" s="27" t="s">
        <v>128</v>
      </c>
      <c r="E655" s="27" t="s">
        <v>41</v>
      </c>
      <c r="F655" s="42" t="str" cm="1">
        <f t="array" ref="F655">_xlfn.IFS(E655="Bandung","BDG",E655="Surabaya","SBY",E655="Jakarta","JKT")</f>
        <v>SBY</v>
      </c>
      <c r="G655" s="27" t="s">
        <v>78</v>
      </c>
      <c r="H655" s="27" t="s">
        <v>125</v>
      </c>
      <c r="I655" s="27" t="s">
        <v>39</v>
      </c>
      <c r="J655" s="26" t="s">
        <v>1666</v>
      </c>
      <c r="K655" s="26">
        <v>43241</v>
      </c>
      <c r="L655" s="27">
        <f t="shared" si="62"/>
        <v>2</v>
      </c>
      <c r="M655" s="45">
        <v>323400</v>
      </c>
      <c r="N655" s="45">
        <v>548250</v>
      </c>
      <c r="O655" s="27">
        <v>90</v>
      </c>
      <c r="P655" s="46">
        <f t="shared" si="63"/>
        <v>0.41012311901504789</v>
      </c>
      <c r="Q655" s="27">
        <v>34</v>
      </c>
      <c r="R655" s="44">
        <f t="shared" si="60"/>
        <v>18640500</v>
      </c>
      <c r="S655" s="29">
        <v>0.03</v>
      </c>
      <c r="T655" s="44">
        <f t="shared" si="64"/>
        <v>18081285</v>
      </c>
      <c r="U655" s="44">
        <f t="shared" si="65"/>
        <v>7085685</v>
      </c>
      <c r="V655" s="44"/>
    </row>
    <row r="656" spans="1:22" ht="14.5" x14ac:dyDescent="0.35">
      <c r="A656" s="47" t="str">
        <f t="shared" si="61"/>
        <v>SBY-GA-E1036-2020</v>
      </c>
      <c r="B656" s="26">
        <v>43914</v>
      </c>
      <c r="C656" s="42">
        <v>2020</v>
      </c>
      <c r="D656" s="27" t="s">
        <v>128</v>
      </c>
      <c r="E656" s="27" t="s">
        <v>41</v>
      </c>
      <c r="F656" s="42" t="str" cm="1">
        <f t="array" ref="F656">_xlfn.IFS(E656="Bandung","BDG",E656="Surabaya","SBY",E656="Jakarta","JKT")</f>
        <v>SBY</v>
      </c>
      <c r="G656" s="27" t="s">
        <v>78</v>
      </c>
      <c r="H656" s="27" t="s">
        <v>81</v>
      </c>
      <c r="I656" s="27" t="s">
        <v>39</v>
      </c>
      <c r="J656" s="26" t="s">
        <v>1783</v>
      </c>
      <c r="K656" s="26">
        <v>43919</v>
      </c>
      <c r="L656" s="27">
        <f t="shared" si="62"/>
        <v>5</v>
      </c>
      <c r="M656" s="45">
        <v>27300</v>
      </c>
      <c r="N656" s="45">
        <v>44700</v>
      </c>
      <c r="O656" s="27">
        <v>48</v>
      </c>
      <c r="P656" s="46">
        <f t="shared" si="63"/>
        <v>0.38926174496644295</v>
      </c>
      <c r="Q656" s="27">
        <v>45</v>
      </c>
      <c r="R656" s="44">
        <f t="shared" si="60"/>
        <v>2011500</v>
      </c>
      <c r="S656" s="29">
        <v>0.05</v>
      </c>
      <c r="T656" s="44">
        <f t="shared" si="64"/>
        <v>1910925</v>
      </c>
      <c r="U656" s="44">
        <f t="shared" si="65"/>
        <v>682425</v>
      </c>
      <c r="V656" s="44"/>
    </row>
    <row r="657" spans="1:22" ht="14.5" x14ac:dyDescent="0.35">
      <c r="A657" s="47" t="str">
        <f t="shared" si="61"/>
        <v>JKT-GP-E1028-2018</v>
      </c>
      <c r="B657" s="26">
        <v>43154</v>
      </c>
      <c r="C657" s="42">
        <v>2018</v>
      </c>
      <c r="D657" s="27" t="s">
        <v>506</v>
      </c>
      <c r="E657" s="27" t="s">
        <v>32</v>
      </c>
      <c r="F657" s="42" t="str" cm="1">
        <f t="array" ref="F657">_xlfn.IFS(E657="Bandung","BDG",E657="Surabaya","SBY",E657="Jakarta","JKT")</f>
        <v>JKT</v>
      </c>
      <c r="G657" s="27" t="s">
        <v>33</v>
      </c>
      <c r="H657" s="27" t="s">
        <v>507</v>
      </c>
      <c r="I657" s="27" t="s">
        <v>39</v>
      </c>
      <c r="J657" s="26" t="s">
        <v>1656</v>
      </c>
      <c r="K657" s="26">
        <v>43155</v>
      </c>
      <c r="L657" s="27">
        <f t="shared" si="62"/>
        <v>1</v>
      </c>
      <c r="M657" s="45">
        <v>14100</v>
      </c>
      <c r="N657" s="45">
        <v>28200</v>
      </c>
      <c r="O657" s="27">
        <v>58</v>
      </c>
      <c r="P657" s="46">
        <f t="shared" si="63"/>
        <v>0.5</v>
      </c>
      <c r="Q657" s="27">
        <v>36</v>
      </c>
      <c r="R657" s="44">
        <f t="shared" si="60"/>
        <v>1015200</v>
      </c>
      <c r="S657" s="29">
        <v>0.1</v>
      </c>
      <c r="T657" s="44">
        <f t="shared" si="64"/>
        <v>913680</v>
      </c>
      <c r="U657" s="44">
        <f t="shared" si="65"/>
        <v>406080</v>
      </c>
      <c r="V657" s="44"/>
    </row>
    <row r="658" spans="1:22" ht="14.5" x14ac:dyDescent="0.35">
      <c r="A658" s="47" t="str">
        <f t="shared" si="61"/>
        <v>JKT-GP-E1028-2019</v>
      </c>
      <c r="B658" s="26">
        <v>43692</v>
      </c>
      <c r="C658" s="42">
        <v>2019</v>
      </c>
      <c r="D658" s="27" t="s">
        <v>506</v>
      </c>
      <c r="E658" s="27" t="s">
        <v>32</v>
      </c>
      <c r="F658" s="42" t="str" cm="1">
        <f t="array" ref="F658">_xlfn.IFS(E658="Bandung","BDG",E658="Surabaya","SBY",E658="Jakarta","JKT")</f>
        <v>JKT</v>
      </c>
      <c r="G658" s="27" t="s">
        <v>33</v>
      </c>
      <c r="H658" s="27" t="s">
        <v>132</v>
      </c>
      <c r="I658" s="27" t="s">
        <v>73</v>
      </c>
      <c r="J658" s="26" t="s">
        <v>1741</v>
      </c>
      <c r="K658" s="26">
        <v>43694</v>
      </c>
      <c r="L658" s="27">
        <f t="shared" si="62"/>
        <v>2</v>
      </c>
      <c r="M658" s="45">
        <v>82500</v>
      </c>
      <c r="N658" s="45">
        <v>183300</v>
      </c>
      <c r="O658" s="27">
        <v>79</v>
      </c>
      <c r="P658" s="46">
        <f t="shared" si="63"/>
        <v>0.54991816693944351</v>
      </c>
      <c r="Q658" s="27">
        <v>46</v>
      </c>
      <c r="R658" s="44">
        <f t="shared" si="60"/>
        <v>8431800</v>
      </c>
      <c r="S658" s="29">
        <v>0.06</v>
      </c>
      <c r="T658" s="44">
        <f t="shared" si="64"/>
        <v>7925892</v>
      </c>
      <c r="U658" s="44">
        <f t="shared" si="65"/>
        <v>4130892</v>
      </c>
      <c r="V658" s="44"/>
    </row>
    <row r="659" spans="1:22" ht="14.5" x14ac:dyDescent="0.35">
      <c r="A659" s="47" t="str">
        <f t="shared" si="61"/>
        <v>JKT-GP-E1028-2019</v>
      </c>
      <c r="B659" s="26">
        <v>43692</v>
      </c>
      <c r="C659" s="42">
        <v>2019</v>
      </c>
      <c r="D659" s="27" t="s">
        <v>506</v>
      </c>
      <c r="E659" s="27" t="s">
        <v>32</v>
      </c>
      <c r="F659" s="42" t="str" cm="1">
        <f t="array" ref="F659">_xlfn.IFS(E659="Bandung","BDG",E659="Surabaya","SBY",E659="Jakarta","JKT")</f>
        <v>JKT</v>
      </c>
      <c r="G659" s="27" t="s">
        <v>33</v>
      </c>
      <c r="H659" s="27" t="s">
        <v>229</v>
      </c>
      <c r="I659" s="27" t="s">
        <v>35</v>
      </c>
      <c r="J659" s="26">
        <v>43693</v>
      </c>
      <c r="K659" s="26">
        <v>43693</v>
      </c>
      <c r="L659" s="27">
        <f t="shared" si="62"/>
        <v>1</v>
      </c>
      <c r="M659" s="45">
        <v>33900</v>
      </c>
      <c r="N659" s="45">
        <v>53700</v>
      </c>
      <c r="O659" s="27">
        <v>115</v>
      </c>
      <c r="P659" s="46">
        <f t="shared" si="63"/>
        <v>0.36871508379888268</v>
      </c>
      <c r="Q659" s="27">
        <v>8</v>
      </c>
      <c r="R659" s="44">
        <f t="shared" si="60"/>
        <v>429600</v>
      </c>
      <c r="S659" s="29">
        <v>0.09</v>
      </c>
      <c r="T659" s="44">
        <f t="shared" si="64"/>
        <v>390936</v>
      </c>
      <c r="U659" s="44">
        <f t="shared" si="65"/>
        <v>119736</v>
      </c>
      <c r="V659" s="44"/>
    </row>
    <row r="660" spans="1:22" ht="14.5" x14ac:dyDescent="0.35">
      <c r="A660" s="47" t="str">
        <f t="shared" si="61"/>
        <v>SBY-GK-E1036-2017</v>
      </c>
      <c r="B660" s="26">
        <v>43058</v>
      </c>
      <c r="C660" s="42">
        <v>2017</v>
      </c>
      <c r="D660" s="27" t="s">
        <v>468</v>
      </c>
      <c r="E660" s="27" t="s">
        <v>41</v>
      </c>
      <c r="F660" s="42" t="str" cm="1">
        <f t="array" ref="F660">_xlfn.IFS(E660="Bandung","BDG",E660="Surabaya","SBY",E660="Jakarta","JKT")</f>
        <v>SBY</v>
      </c>
      <c r="G660" s="27" t="s">
        <v>78</v>
      </c>
      <c r="H660" s="27" t="s">
        <v>260</v>
      </c>
      <c r="I660" s="27" t="s">
        <v>39</v>
      </c>
      <c r="J660" s="26">
        <v>43060</v>
      </c>
      <c r="K660" s="26">
        <v>43060</v>
      </c>
      <c r="L660" s="27">
        <f t="shared" si="62"/>
        <v>2</v>
      </c>
      <c r="M660" s="45">
        <v>49800</v>
      </c>
      <c r="N660" s="45">
        <v>77700</v>
      </c>
      <c r="O660" s="27">
        <v>66</v>
      </c>
      <c r="P660" s="46">
        <f t="shared" si="63"/>
        <v>0.35907335907335908</v>
      </c>
      <c r="Q660" s="27">
        <v>17</v>
      </c>
      <c r="R660" s="44">
        <f t="shared" si="60"/>
        <v>1320900</v>
      </c>
      <c r="S660" s="29">
        <v>0.02</v>
      </c>
      <c r="T660" s="44">
        <f t="shared" si="64"/>
        <v>1294482</v>
      </c>
      <c r="U660" s="44">
        <f t="shared" si="65"/>
        <v>447882</v>
      </c>
      <c r="V660" s="44"/>
    </row>
    <row r="661" spans="1:22" ht="14.5" x14ac:dyDescent="0.35">
      <c r="A661" s="47" t="str">
        <f t="shared" si="61"/>
        <v>SBY-GK-E1036-2019</v>
      </c>
      <c r="B661" s="26">
        <v>43711</v>
      </c>
      <c r="C661" s="42">
        <v>2019</v>
      </c>
      <c r="D661" s="27" t="s">
        <v>468</v>
      </c>
      <c r="E661" s="27" t="s">
        <v>41</v>
      </c>
      <c r="F661" s="42" t="str" cm="1">
        <f t="array" ref="F661">_xlfn.IFS(E661="Bandung","BDG",E661="Surabaya","SBY",E661="Jakarta","JKT")</f>
        <v>SBY</v>
      </c>
      <c r="G661" s="27" t="s">
        <v>78</v>
      </c>
      <c r="H661" s="27" t="s">
        <v>276</v>
      </c>
      <c r="I661" s="27" t="s">
        <v>35</v>
      </c>
      <c r="J661" s="26">
        <v>43564</v>
      </c>
      <c r="K661" s="26">
        <v>43712</v>
      </c>
      <c r="L661" s="27">
        <f t="shared" si="62"/>
        <v>1</v>
      </c>
      <c r="M661" s="45">
        <v>224250</v>
      </c>
      <c r="N661" s="45">
        <v>521399.99999999994</v>
      </c>
      <c r="O661" s="27">
        <v>87</v>
      </c>
      <c r="P661" s="46">
        <f t="shared" si="63"/>
        <v>0.56990794016110469</v>
      </c>
      <c r="Q661" s="27">
        <v>47</v>
      </c>
      <c r="R661" s="44">
        <f t="shared" si="60"/>
        <v>24505799.999999996</v>
      </c>
      <c r="S661" s="29">
        <v>0.09</v>
      </c>
      <c r="T661" s="44">
        <f t="shared" si="64"/>
        <v>22300277.999999996</v>
      </c>
      <c r="U661" s="44">
        <f t="shared" si="65"/>
        <v>11760527.999999996</v>
      </c>
      <c r="V661" s="44"/>
    </row>
    <row r="662" spans="1:22" ht="14.5" x14ac:dyDescent="0.35">
      <c r="A662" s="47" t="str">
        <f t="shared" si="61"/>
        <v>SBY-GW-E1038-2016</v>
      </c>
      <c r="B662" s="26">
        <v>42597</v>
      </c>
      <c r="C662" s="42">
        <v>2016</v>
      </c>
      <c r="D662" s="27" t="s">
        <v>111</v>
      </c>
      <c r="E662" s="27" t="s">
        <v>41</v>
      </c>
      <c r="F662" s="42" t="str" cm="1">
        <f t="array" ref="F662">_xlfn.IFS(E662="Bandung","BDG",E662="Surabaya","SBY",E662="Jakarta","JKT")</f>
        <v>SBY</v>
      </c>
      <c r="G662" s="27" t="s">
        <v>98</v>
      </c>
      <c r="H662" s="27" t="s">
        <v>87</v>
      </c>
      <c r="I662" s="27" t="s">
        <v>35</v>
      </c>
      <c r="J662" s="26">
        <v>42599</v>
      </c>
      <c r="K662" s="26">
        <v>42599</v>
      </c>
      <c r="L662" s="27">
        <f t="shared" si="62"/>
        <v>2</v>
      </c>
      <c r="M662" s="45">
        <v>52800</v>
      </c>
      <c r="N662" s="45">
        <v>85200</v>
      </c>
      <c r="O662" s="27">
        <v>96</v>
      </c>
      <c r="P662" s="46">
        <f t="shared" si="63"/>
        <v>0.38028169014084506</v>
      </c>
      <c r="Q662" s="27">
        <v>20</v>
      </c>
      <c r="R662" s="44">
        <f t="shared" si="60"/>
        <v>1704000</v>
      </c>
      <c r="S662" s="29">
        <v>7.0000000000000007E-2</v>
      </c>
      <c r="T662" s="44">
        <f t="shared" si="64"/>
        <v>1584720</v>
      </c>
      <c r="U662" s="44">
        <f t="shared" si="65"/>
        <v>528720</v>
      </c>
      <c r="V662" s="44"/>
    </row>
    <row r="663" spans="1:22" ht="14.5" x14ac:dyDescent="0.35">
      <c r="A663" s="47" t="str">
        <f t="shared" si="61"/>
        <v>JKT-GU-E1028-2017</v>
      </c>
      <c r="B663" s="26">
        <v>42758</v>
      </c>
      <c r="C663" s="42">
        <v>2017</v>
      </c>
      <c r="D663" s="27" t="s">
        <v>284</v>
      </c>
      <c r="E663" s="27" t="s">
        <v>32</v>
      </c>
      <c r="F663" s="42" t="str" cm="1">
        <f t="array" ref="F663">_xlfn.IFS(E663="Bandung","BDG",E663="Surabaya","SBY",E663="Jakarta","JKT")</f>
        <v>JKT</v>
      </c>
      <c r="G663" s="27" t="s">
        <v>33</v>
      </c>
      <c r="H663" s="27" t="s">
        <v>243</v>
      </c>
      <c r="I663" s="27" t="s">
        <v>35</v>
      </c>
      <c r="J663" s="26">
        <v>42759</v>
      </c>
      <c r="K663" s="26">
        <v>42759</v>
      </c>
      <c r="L663" s="27">
        <f t="shared" si="62"/>
        <v>1</v>
      </c>
      <c r="M663" s="45">
        <v>1015950.0000000001</v>
      </c>
      <c r="N663" s="45">
        <v>2478000</v>
      </c>
      <c r="O663" s="27">
        <v>55</v>
      </c>
      <c r="P663" s="46">
        <f t="shared" si="63"/>
        <v>0.59001210653753022</v>
      </c>
      <c r="Q663" s="27">
        <v>6</v>
      </c>
      <c r="R663" s="44">
        <f t="shared" si="60"/>
        <v>14868000</v>
      </c>
      <c r="S663" s="29">
        <v>0.09</v>
      </c>
      <c r="T663" s="44">
        <f t="shared" si="64"/>
        <v>13529880</v>
      </c>
      <c r="U663" s="44">
        <f t="shared" si="65"/>
        <v>7434179.9999999991</v>
      </c>
      <c r="V663" s="44"/>
    </row>
    <row r="664" spans="1:22" ht="14.5" x14ac:dyDescent="0.35">
      <c r="A664" s="47" t="str">
        <f t="shared" si="61"/>
        <v>JKT-GU-E1028-2017</v>
      </c>
      <c r="B664" s="26">
        <v>42758</v>
      </c>
      <c r="C664" s="42">
        <v>2017</v>
      </c>
      <c r="D664" s="27" t="s">
        <v>284</v>
      </c>
      <c r="E664" s="27" t="s">
        <v>32</v>
      </c>
      <c r="F664" s="42" t="str" cm="1">
        <f t="array" ref="F664">_xlfn.IFS(E664="Bandung","BDG",E664="Surabaya","SBY",E664="Jakarta","JKT")</f>
        <v>JKT</v>
      </c>
      <c r="G664" s="27" t="s">
        <v>33</v>
      </c>
      <c r="H664" s="27" t="s">
        <v>256</v>
      </c>
      <c r="I664" s="27" t="s">
        <v>35</v>
      </c>
      <c r="J664" s="26">
        <v>42760</v>
      </c>
      <c r="K664" s="26">
        <v>42760</v>
      </c>
      <c r="L664" s="27">
        <f t="shared" si="62"/>
        <v>2</v>
      </c>
      <c r="M664" s="45">
        <v>36750</v>
      </c>
      <c r="N664" s="45">
        <v>58350</v>
      </c>
      <c r="O664" s="27">
        <v>34</v>
      </c>
      <c r="P664" s="46">
        <f t="shared" si="63"/>
        <v>0.37017994858611825</v>
      </c>
      <c r="Q664" s="27">
        <v>2</v>
      </c>
      <c r="R664" s="44">
        <f t="shared" si="60"/>
        <v>116700</v>
      </c>
      <c r="S664" s="29">
        <v>7.0000000000000007E-2</v>
      </c>
      <c r="T664" s="44">
        <f t="shared" si="64"/>
        <v>108531</v>
      </c>
      <c r="U664" s="44">
        <f t="shared" si="65"/>
        <v>35031</v>
      </c>
      <c r="V664" s="44"/>
    </row>
    <row r="665" spans="1:22" ht="14.5" x14ac:dyDescent="0.35">
      <c r="A665" s="47" t="str">
        <f t="shared" si="61"/>
        <v>JKT-GU-E1028-2018</v>
      </c>
      <c r="B665" s="26">
        <v>43217</v>
      </c>
      <c r="C665" s="42">
        <v>2018</v>
      </c>
      <c r="D665" s="27" t="s">
        <v>284</v>
      </c>
      <c r="E665" s="27" t="s">
        <v>32</v>
      </c>
      <c r="F665" s="42" t="str" cm="1">
        <f t="array" ref="F665">_xlfn.IFS(E665="Bandung","BDG",E665="Surabaya","SBY",E665="Jakarta","JKT")</f>
        <v>JKT</v>
      </c>
      <c r="G665" s="27" t="s">
        <v>33</v>
      </c>
      <c r="H665" s="27" t="s">
        <v>527</v>
      </c>
      <c r="I665" s="27" t="s">
        <v>73</v>
      </c>
      <c r="J665" s="26" t="s">
        <v>1661</v>
      </c>
      <c r="K665" s="26">
        <v>43218</v>
      </c>
      <c r="L665" s="27">
        <f t="shared" si="62"/>
        <v>1</v>
      </c>
      <c r="M665" s="45">
        <v>43050</v>
      </c>
      <c r="N665" s="45">
        <v>102600</v>
      </c>
      <c r="O665" s="27">
        <v>61</v>
      </c>
      <c r="P665" s="46">
        <f t="shared" si="63"/>
        <v>0.58040935672514615</v>
      </c>
      <c r="Q665" s="27">
        <v>26</v>
      </c>
      <c r="R665" s="44">
        <f t="shared" si="60"/>
        <v>2667600</v>
      </c>
      <c r="S665" s="29">
        <v>0.08</v>
      </c>
      <c r="T665" s="44">
        <f t="shared" si="64"/>
        <v>2454192</v>
      </c>
      <c r="U665" s="44">
        <f t="shared" si="65"/>
        <v>1334892</v>
      </c>
      <c r="V665" s="44"/>
    </row>
    <row r="666" spans="1:22" ht="14.5" x14ac:dyDescent="0.35">
      <c r="A666" s="47" t="str">
        <f t="shared" si="61"/>
        <v>JKT-GU-E1028-2020</v>
      </c>
      <c r="B666" s="26">
        <v>43882</v>
      </c>
      <c r="C666" s="42">
        <v>2020</v>
      </c>
      <c r="D666" s="27" t="s">
        <v>284</v>
      </c>
      <c r="E666" s="27" t="s">
        <v>32</v>
      </c>
      <c r="F666" s="42" t="str" cm="1">
        <f t="array" ref="F666">_xlfn.IFS(E666="Bandung","BDG",E666="Surabaya","SBY",E666="Jakarta","JKT")</f>
        <v>JKT</v>
      </c>
      <c r="G666" s="27" t="s">
        <v>33</v>
      </c>
      <c r="H666" s="27" t="s">
        <v>49</v>
      </c>
      <c r="I666" s="27" t="s">
        <v>39</v>
      </c>
      <c r="J666" s="26" t="s">
        <v>1773</v>
      </c>
      <c r="K666" s="26">
        <v>43882</v>
      </c>
      <c r="L666" s="27">
        <f t="shared" si="62"/>
        <v>0</v>
      </c>
      <c r="M666" s="45">
        <v>13500</v>
      </c>
      <c r="N666" s="45">
        <v>31500</v>
      </c>
      <c r="O666" s="27">
        <v>60</v>
      </c>
      <c r="P666" s="46">
        <f t="shared" si="63"/>
        <v>0.5714285714285714</v>
      </c>
      <c r="Q666" s="27">
        <v>27</v>
      </c>
      <c r="R666" s="44">
        <f t="shared" si="60"/>
        <v>850500</v>
      </c>
      <c r="S666" s="29">
        <v>0.04</v>
      </c>
      <c r="T666" s="44">
        <f t="shared" si="64"/>
        <v>816480</v>
      </c>
      <c r="U666" s="44">
        <f t="shared" si="65"/>
        <v>451980</v>
      </c>
      <c r="V666" s="44"/>
    </row>
    <row r="667" spans="1:22" ht="14.5" x14ac:dyDescent="0.35">
      <c r="A667" s="47" t="str">
        <f t="shared" si="61"/>
        <v>SBY-GS-E1032-2019</v>
      </c>
      <c r="B667" s="26">
        <v>43684</v>
      </c>
      <c r="C667" s="42">
        <v>2019</v>
      </c>
      <c r="D667" s="27" t="s">
        <v>680</v>
      </c>
      <c r="E667" s="27" t="s">
        <v>41</v>
      </c>
      <c r="F667" s="42" t="str" cm="1">
        <f t="array" ref="F667">_xlfn.IFS(E667="Bandung","BDG",E667="Surabaya","SBY",E667="Jakarta","JKT")</f>
        <v>SBY</v>
      </c>
      <c r="G667" s="27" t="s">
        <v>53</v>
      </c>
      <c r="H667" s="27" t="s">
        <v>244</v>
      </c>
      <c r="I667" s="27" t="s">
        <v>35</v>
      </c>
      <c r="J667" s="26">
        <v>43716</v>
      </c>
      <c r="K667" s="26">
        <v>43686</v>
      </c>
      <c r="L667" s="27">
        <f t="shared" si="62"/>
        <v>2</v>
      </c>
      <c r="M667" s="45">
        <v>32700.000000000004</v>
      </c>
      <c r="N667" s="45">
        <v>52800</v>
      </c>
      <c r="O667" s="27">
        <v>105</v>
      </c>
      <c r="P667" s="46">
        <f t="shared" si="63"/>
        <v>0.38068181818181812</v>
      </c>
      <c r="Q667" s="27">
        <v>32</v>
      </c>
      <c r="R667" s="44">
        <f t="shared" si="60"/>
        <v>1689600</v>
      </c>
      <c r="S667" s="29">
        <v>7.0000000000000007E-2</v>
      </c>
      <c r="T667" s="44">
        <f t="shared" si="64"/>
        <v>1571328</v>
      </c>
      <c r="U667" s="44">
        <f t="shared" si="65"/>
        <v>524927.99999999988</v>
      </c>
      <c r="V667" s="44"/>
    </row>
    <row r="668" spans="1:22" ht="14.5" x14ac:dyDescent="0.35">
      <c r="A668" s="47" t="str">
        <f t="shared" si="61"/>
        <v>SBY-GH-E1036-2016</v>
      </c>
      <c r="B668" s="26">
        <v>42621</v>
      </c>
      <c r="C668" s="42">
        <v>2016</v>
      </c>
      <c r="D668" s="27" t="s">
        <v>143</v>
      </c>
      <c r="E668" s="27" t="s">
        <v>41</v>
      </c>
      <c r="F668" s="42" t="str" cm="1">
        <f t="array" ref="F668">_xlfn.IFS(E668="Bandung","BDG",E668="Surabaya","SBY",E668="Jakarta","JKT")</f>
        <v>SBY</v>
      </c>
      <c r="G668" s="27" t="s">
        <v>78</v>
      </c>
      <c r="H668" s="27" t="s">
        <v>144</v>
      </c>
      <c r="I668" s="27" t="s">
        <v>35</v>
      </c>
      <c r="J668" s="26">
        <v>42622</v>
      </c>
      <c r="K668" s="26">
        <v>42622</v>
      </c>
      <c r="L668" s="27">
        <f t="shared" si="62"/>
        <v>1</v>
      </c>
      <c r="M668" s="45">
        <v>2347500</v>
      </c>
      <c r="N668" s="45">
        <v>4514550</v>
      </c>
      <c r="O668" s="27">
        <v>80</v>
      </c>
      <c r="P668" s="46">
        <f t="shared" si="63"/>
        <v>0.48001461939728213</v>
      </c>
      <c r="Q668" s="27">
        <v>14</v>
      </c>
      <c r="R668" s="44">
        <f t="shared" si="60"/>
        <v>63203700</v>
      </c>
      <c r="S668" s="29">
        <v>0.1</v>
      </c>
      <c r="T668" s="44">
        <f t="shared" si="64"/>
        <v>56883330</v>
      </c>
      <c r="U668" s="44">
        <f t="shared" si="65"/>
        <v>24018330</v>
      </c>
      <c r="V668" s="44"/>
    </row>
    <row r="669" spans="1:22" ht="14.5" x14ac:dyDescent="0.35">
      <c r="A669" s="47" t="str">
        <f t="shared" si="61"/>
        <v>JKT-GS-E1028-2018</v>
      </c>
      <c r="B669" s="26">
        <v>43243</v>
      </c>
      <c r="C669" s="42">
        <v>2018</v>
      </c>
      <c r="D669" s="27" t="s">
        <v>544</v>
      </c>
      <c r="E669" s="27" t="s">
        <v>32</v>
      </c>
      <c r="F669" s="42" t="str" cm="1">
        <f t="array" ref="F669">_xlfn.IFS(E669="Bandung","BDG",E669="Surabaya","SBY",E669="Jakarta","JKT")</f>
        <v>JKT</v>
      </c>
      <c r="G669" s="27" t="s">
        <v>33</v>
      </c>
      <c r="H669" s="27" t="s">
        <v>54</v>
      </c>
      <c r="I669" s="27" t="s">
        <v>35</v>
      </c>
      <c r="J669" s="26" t="s">
        <v>1667</v>
      </c>
      <c r="K669" s="26">
        <v>43245</v>
      </c>
      <c r="L669" s="27">
        <f t="shared" si="62"/>
        <v>2</v>
      </c>
      <c r="M669" s="45">
        <v>1490850</v>
      </c>
      <c r="N669" s="45">
        <v>2443950</v>
      </c>
      <c r="O669" s="27">
        <v>143</v>
      </c>
      <c r="P669" s="46">
        <f t="shared" si="63"/>
        <v>0.38998342846621248</v>
      </c>
      <c r="Q669" s="27">
        <v>39</v>
      </c>
      <c r="R669" s="44">
        <f t="shared" si="60"/>
        <v>95314050</v>
      </c>
      <c r="S669" s="29">
        <v>0.03</v>
      </c>
      <c r="T669" s="44">
        <f t="shared" si="64"/>
        <v>92454628.5</v>
      </c>
      <c r="U669" s="44">
        <f t="shared" si="65"/>
        <v>34311478.5</v>
      </c>
      <c r="V669" s="44"/>
    </row>
    <row r="670" spans="1:22" ht="14.5" x14ac:dyDescent="0.35">
      <c r="A670" s="47" t="str">
        <f t="shared" si="61"/>
        <v>SBY-GP-E1033-2017</v>
      </c>
      <c r="B670" s="26">
        <v>42988</v>
      </c>
      <c r="C670" s="42">
        <v>2017</v>
      </c>
      <c r="D670" s="27" t="s">
        <v>423</v>
      </c>
      <c r="E670" s="27" t="s">
        <v>41</v>
      </c>
      <c r="F670" s="42" t="str" cm="1">
        <f t="array" ref="F670">_xlfn.IFS(E670="Bandung","BDG",E670="Surabaya","SBY",E670="Jakarta","JKT")</f>
        <v>SBY</v>
      </c>
      <c r="G670" s="27" t="s">
        <v>60</v>
      </c>
      <c r="H670" s="27" t="s">
        <v>123</v>
      </c>
      <c r="I670" s="27" t="s">
        <v>35</v>
      </c>
      <c r="J670" s="26">
        <v>43017</v>
      </c>
      <c r="K670" s="26">
        <v>42988</v>
      </c>
      <c r="L670" s="27">
        <f t="shared" si="62"/>
        <v>0</v>
      </c>
      <c r="M670" s="45">
        <v>208200</v>
      </c>
      <c r="N670" s="45">
        <v>335700</v>
      </c>
      <c r="O670" s="27">
        <v>142</v>
      </c>
      <c r="P670" s="46">
        <f t="shared" si="63"/>
        <v>0.37980339588918677</v>
      </c>
      <c r="Q670" s="27">
        <v>26</v>
      </c>
      <c r="R670" s="44">
        <f t="shared" si="60"/>
        <v>8728200</v>
      </c>
      <c r="S670" s="29">
        <v>7.0000000000000007E-2</v>
      </c>
      <c r="T670" s="44">
        <f t="shared" si="64"/>
        <v>8117225.9999999991</v>
      </c>
      <c r="U670" s="44">
        <f t="shared" si="65"/>
        <v>2704025.9999999991</v>
      </c>
      <c r="V670" s="44"/>
    </row>
    <row r="671" spans="1:22" ht="14.5" x14ac:dyDescent="0.35">
      <c r="A671" s="47" t="str">
        <f t="shared" si="61"/>
        <v>JKT-GK-E1028-2017</v>
      </c>
      <c r="B671" s="26">
        <v>43062</v>
      </c>
      <c r="C671" s="42">
        <v>2017</v>
      </c>
      <c r="D671" s="27" t="s">
        <v>471</v>
      </c>
      <c r="E671" s="27" t="s">
        <v>32</v>
      </c>
      <c r="F671" s="42" t="str" cm="1">
        <f t="array" ref="F671">_xlfn.IFS(E671="Bandung","BDG",E671="Surabaya","SBY",E671="Jakarta","JKT")</f>
        <v>JKT</v>
      </c>
      <c r="G671" s="27" t="s">
        <v>33</v>
      </c>
      <c r="H671" s="27" t="s">
        <v>174</v>
      </c>
      <c r="I671" s="27" t="s">
        <v>39</v>
      </c>
      <c r="J671" s="26">
        <v>43064</v>
      </c>
      <c r="K671" s="26">
        <v>43064</v>
      </c>
      <c r="L671" s="27">
        <f t="shared" si="62"/>
        <v>2</v>
      </c>
      <c r="M671" s="45">
        <v>43500</v>
      </c>
      <c r="N671" s="45">
        <v>71400</v>
      </c>
      <c r="O671" s="27">
        <v>11</v>
      </c>
      <c r="P671" s="46">
        <f t="shared" si="63"/>
        <v>0.3907563025210084</v>
      </c>
      <c r="Q671" s="27">
        <v>11</v>
      </c>
      <c r="R671" s="44">
        <f t="shared" si="60"/>
        <v>785400</v>
      </c>
      <c r="S671" s="29">
        <v>0.08</v>
      </c>
      <c r="T671" s="44">
        <f t="shared" si="64"/>
        <v>722568</v>
      </c>
      <c r="U671" s="44">
        <f t="shared" si="65"/>
        <v>244068</v>
      </c>
      <c r="V671" s="44"/>
    </row>
    <row r="672" spans="1:22" ht="14.5" x14ac:dyDescent="0.35">
      <c r="A672" s="47" t="str">
        <f t="shared" si="61"/>
        <v>JKT-GM-E1029-2018</v>
      </c>
      <c r="B672" s="26">
        <v>43219</v>
      </c>
      <c r="C672" s="42">
        <v>2018</v>
      </c>
      <c r="D672" s="27" t="s">
        <v>535</v>
      </c>
      <c r="E672" s="27" t="s">
        <v>32</v>
      </c>
      <c r="F672" s="42" t="str" cm="1">
        <f t="array" ref="F672">_xlfn.IFS(E672="Bandung","BDG",E672="Surabaya","SBY",E672="Jakarta","JKT")</f>
        <v>JKT</v>
      </c>
      <c r="G672" s="27" t="s">
        <v>37</v>
      </c>
      <c r="H672" s="27" t="s">
        <v>440</v>
      </c>
      <c r="I672" s="27" t="s">
        <v>35</v>
      </c>
      <c r="J672" s="26">
        <v>43105</v>
      </c>
      <c r="K672" s="26">
        <v>43221</v>
      </c>
      <c r="L672" s="27">
        <f t="shared" si="62"/>
        <v>2</v>
      </c>
      <c r="M672" s="45">
        <v>27600</v>
      </c>
      <c r="N672" s="45">
        <v>43200</v>
      </c>
      <c r="O672" s="27">
        <v>138</v>
      </c>
      <c r="P672" s="46">
        <f t="shared" si="63"/>
        <v>0.3611111111111111</v>
      </c>
      <c r="Q672" s="27">
        <v>27</v>
      </c>
      <c r="R672" s="44">
        <f t="shared" si="60"/>
        <v>1166400</v>
      </c>
      <c r="S672" s="29">
        <v>0.06</v>
      </c>
      <c r="T672" s="44">
        <f t="shared" si="64"/>
        <v>1096416</v>
      </c>
      <c r="U672" s="44">
        <f t="shared" si="65"/>
        <v>351216</v>
      </c>
      <c r="V672" s="44"/>
    </row>
    <row r="673" spans="1:22" ht="14.5" x14ac:dyDescent="0.35">
      <c r="A673" s="47" t="str">
        <f t="shared" si="61"/>
        <v>JKT-GM-E1028-2017</v>
      </c>
      <c r="B673" s="26">
        <v>42946</v>
      </c>
      <c r="C673" s="42">
        <v>2017</v>
      </c>
      <c r="D673" s="27" t="s">
        <v>406</v>
      </c>
      <c r="E673" s="27" t="s">
        <v>32</v>
      </c>
      <c r="F673" s="42" t="str" cm="1">
        <f t="array" ref="F673">_xlfn.IFS(E673="Bandung","BDG",E673="Surabaya","SBY",E673="Jakarta","JKT")</f>
        <v>JKT</v>
      </c>
      <c r="G673" s="27" t="s">
        <v>33</v>
      </c>
      <c r="H673" s="27" t="s">
        <v>76</v>
      </c>
      <c r="I673" s="27" t="s">
        <v>35</v>
      </c>
      <c r="J673" s="26">
        <v>42948</v>
      </c>
      <c r="K673" s="26">
        <v>42743</v>
      </c>
      <c r="L673" s="27">
        <f t="shared" si="62"/>
        <v>-203</v>
      </c>
      <c r="M673" s="45">
        <v>68850</v>
      </c>
      <c r="N673" s="45">
        <v>109200</v>
      </c>
      <c r="O673" s="27">
        <v>144</v>
      </c>
      <c r="P673" s="46">
        <f t="shared" si="63"/>
        <v>0.36950549450549453</v>
      </c>
      <c r="Q673" s="27">
        <v>11</v>
      </c>
      <c r="R673" s="44">
        <f t="shared" si="60"/>
        <v>1201200</v>
      </c>
      <c r="S673" s="29">
        <v>7.0000000000000007E-2</v>
      </c>
      <c r="T673" s="44">
        <f t="shared" si="64"/>
        <v>1117116</v>
      </c>
      <c r="U673" s="44">
        <f t="shared" si="65"/>
        <v>359766</v>
      </c>
      <c r="V673" s="44"/>
    </row>
    <row r="674" spans="1:22" ht="14.5" x14ac:dyDescent="0.35">
      <c r="A674" s="47" t="str">
        <f t="shared" si="61"/>
        <v>JKT-GM-E1028-2018</v>
      </c>
      <c r="B674" s="26">
        <v>43134</v>
      </c>
      <c r="C674" s="42">
        <v>2018</v>
      </c>
      <c r="D674" s="27" t="s">
        <v>406</v>
      </c>
      <c r="E674" s="27" t="s">
        <v>32</v>
      </c>
      <c r="F674" s="42" t="str" cm="1">
        <f t="array" ref="F674">_xlfn.IFS(E674="Bandung","BDG",E674="Surabaya","SBY",E674="Jakarta","JKT")</f>
        <v>JKT</v>
      </c>
      <c r="G674" s="27" t="s">
        <v>33</v>
      </c>
      <c r="H674" s="27" t="s">
        <v>180</v>
      </c>
      <c r="I674" s="27" t="s">
        <v>35</v>
      </c>
      <c r="J674" s="26">
        <v>43135</v>
      </c>
      <c r="K674" s="26">
        <v>43192</v>
      </c>
      <c r="L674" s="27">
        <f t="shared" si="62"/>
        <v>58</v>
      </c>
      <c r="M674" s="45">
        <v>51000</v>
      </c>
      <c r="N674" s="45">
        <v>81000</v>
      </c>
      <c r="O674" s="27">
        <v>146</v>
      </c>
      <c r="P674" s="46">
        <f t="shared" si="63"/>
        <v>0.37037037037037035</v>
      </c>
      <c r="Q674" s="27">
        <v>22</v>
      </c>
      <c r="R674" s="44">
        <f t="shared" si="60"/>
        <v>1782000</v>
      </c>
      <c r="S674" s="29">
        <v>0.1</v>
      </c>
      <c r="T674" s="44">
        <f t="shared" si="64"/>
        <v>1603800</v>
      </c>
      <c r="U674" s="44">
        <f t="shared" si="65"/>
        <v>481800</v>
      </c>
      <c r="V674" s="44"/>
    </row>
    <row r="675" spans="1:22" ht="14.5" x14ac:dyDescent="0.35">
      <c r="A675" s="47" t="str">
        <f t="shared" si="61"/>
        <v>JKT-GL-E1028-2016</v>
      </c>
      <c r="B675" s="26">
        <v>42625</v>
      </c>
      <c r="C675" s="42">
        <v>2016</v>
      </c>
      <c r="D675" s="27" t="s">
        <v>155</v>
      </c>
      <c r="E675" s="27" t="s">
        <v>32</v>
      </c>
      <c r="F675" s="42" t="str" cm="1">
        <f t="array" ref="F675">_xlfn.IFS(E675="Bandung","BDG",E675="Surabaya","SBY",E675="Jakarta","JKT")</f>
        <v>JKT</v>
      </c>
      <c r="G675" s="27" t="s">
        <v>33</v>
      </c>
      <c r="H675" s="27" t="s">
        <v>156</v>
      </c>
      <c r="I675" s="27" t="s">
        <v>39</v>
      </c>
      <c r="J675" s="26">
        <v>42629</v>
      </c>
      <c r="K675" s="26">
        <v>42629</v>
      </c>
      <c r="L675" s="27">
        <f t="shared" si="62"/>
        <v>4</v>
      </c>
      <c r="M675" s="45">
        <v>52200</v>
      </c>
      <c r="N675" s="45">
        <v>81450</v>
      </c>
      <c r="O675" s="27">
        <v>101</v>
      </c>
      <c r="P675" s="46">
        <f t="shared" si="63"/>
        <v>0.35911602209944754</v>
      </c>
      <c r="Q675" s="27">
        <v>29</v>
      </c>
      <c r="R675" s="44">
        <f t="shared" si="60"/>
        <v>2362050</v>
      </c>
      <c r="S675" s="29">
        <v>7.0000000000000007E-2</v>
      </c>
      <c r="T675" s="44">
        <f t="shared" si="64"/>
        <v>2196706.5</v>
      </c>
      <c r="U675" s="44">
        <f t="shared" si="65"/>
        <v>682906.5</v>
      </c>
      <c r="V675" s="44"/>
    </row>
    <row r="676" spans="1:22" ht="14.5" x14ac:dyDescent="0.35">
      <c r="A676" s="47" t="str">
        <f t="shared" si="61"/>
        <v>JKT-GL-E1028-2017</v>
      </c>
      <c r="B676" s="26">
        <v>42827</v>
      </c>
      <c r="C676" s="42">
        <v>2017</v>
      </c>
      <c r="D676" s="27" t="s">
        <v>155</v>
      </c>
      <c r="E676" s="27" t="s">
        <v>32</v>
      </c>
      <c r="F676" s="42" t="str" cm="1">
        <f t="array" ref="F676">_xlfn.IFS(E676="Bandung","BDG",E676="Surabaya","SBY",E676="Jakarta","JKT")</f>
        <v>JKT</v>
      </c>
      <c r="G676" s="27" t="s">
        <v>33</v>
      </c>
      <c r="H676" s="27" t="s">
        <v>267</v>
      </c>
      <c r="I676" s="27" t="s">
        <v>35</v>
      </c>
      <c r="J676" s="26">
        <v>42829</v>
      </c>
      <c r="K676" s="26">
        <v>42829</v>
      </c>
      <c r="L676" s="27">
        <f t="shared" si="62"/>
        <v>2</v>
      </c>
      <c r="M676" s="45">
        <v>631650</v>
      </c>
      <c r="N676" s="45">
        <v>1214700</v>
      </c>
      <c r="O676" s="27">
        <v>47</v>
      </c>
      <c r="P676" s="46">
        <f t="shared" si="63"/>
        <v>0.47999506050876761</v>
      </c>
      <c r="Q676" s="27">
        <v>13</v>
      </c>
      <c r="R676" s="44">
        <f t="shared" si="60"/>
        <v>15791100</v>
      </c>
      <c r="S676" s="29">
        <v>0.03</v>
      </c>
      <c r="T676" s="44">
        <f t="shared" si="64"/>
        <v>15317367</v>
      </c>
      <c r="U676" s="44">
        <f t="shared" si="65"/>
        <v>7105917</v>
      </c>
      <c r="V676" s="44"/>
    </row>
    <row r="677" spans="1:22" ht="14.5" x14ac:dyDescent="0.35">
      <c r="A677" s="47" t="str">
        <f t="shared" si="61"/>
        <v>JKT-GL-E1028-2018</v>
      </c>
      <c r="B677" s="26">
        <v>43214</v>
      </c>
      <c r="C677" s="42">
        <v>2018</v>
      </c>
      <c r="D677" s="27" t="s">
        <v>155</v>
      </c>
      <c r="E677" s="27" t="s">
        <v>32</v>
      </c>
      <c r="F677" s="42" t="str" cm="1">
        <f t="array" ref="F677">_xlfn.IFS(E677="Bandung","BDG",E677="Surabaya","SBY",E677="Jakarta","JKT")</f>
        <v>JKT</v>
      </c>
      <c r="G677" s="27" t="s">
        <v>33</v>
      </c>
      <c r="H677" s="27" t="s">
        <v>202</v>
      </c>
      <c r="I677" s="27" t="s">
        <v>39</v>
      </c>
      <c r="J677" s="26">
        <v>43214</v>
      </c>
      <c r="K677" s="26">
        <v>43214</v>
      </c>
      <c r="L677" s="27">
        <f t="shared" si="62"/>
        <v>0</v>
      </c>
      <c r="M677" s="45">
        <v>19650</v>
      </c>
      <c r="N677" s="45">
        <v>42600</v>
      </c>
      <c r="O677" s="27">
        <v>99</v>
      </c>
      <c r="P677" s="46">
        <f t="shared" si="63"/>
        <v>0.53873239436619713</v>
      </c>
      <c r="Q677" s="27">
        <v>21</v>
      </c>
      <c r="R677" s="44">
        <f t="shared" si="60"/>
        <v>894600</v>
      </c>
      <c r="S677" s="29">
        <v>0</v>
      </c>
      <c r="T677" s="44">
        <f t="shared" si="64"/>
        <v>894600</v>
      </c>
      <c r="U677" s="44">
        <f t="shared" si="65"/>
        <v>481950</v>
      </c>
      <c r="V677" s="44"/>
    </row>
    <row r="678" spans="1:22" ht="14.5" x14ac:dyDescent="0.35">
      <c r="A678" s="47" t="str">
        <f t="shared" si="61"/>
        <v>JKT-GZ-E1029-2017</v>
      </c>
      <c r="B678" s="26">
        <v>42992</v>
      </c>
      <c r="C678" s="42">
        <v>2017</v>
      </c>
      <c r="D678" s="27" t="s">
        <v>425</v>
      </c>
      <c r="E678" s="27" t="s">
        <v>32</v>
      </c>
      <c r="F678" s="42" t="str" cm="1">
        <f t="array" ref="F678">_xlfn.IFS(E678="Bandung","BDG",E678="Surabaya","SBY",E678="Jakarta","JKT")</f>
        <v>JKT</v>
      </c>
      <c r="G678" s="27" t="s">
        <v>37</v>
      </c>
      <c r="H678" s="27" t="s">
        <v>119</v>
      </c>
      <c r="I678" s="27" t="s">
        <v>120</v>
      </c>
      <c r="J678" s="26" t="s">
        <v>1627</v>
      </c>
      <c r="K678" s="26">
        <v>42994</v>
      </c>
      <c r="L678" s="27">
        <f t="shared" si="62"/>
        <v>2</v>
      </c>
      <c r="M678" s="45">
        <v>132300</v>
      </c>
      <c r="N678" s="45">
        <v>314850</v>
      </c>
      <c r="O678" s="27">
        <v>123</v>
      </c>
      <c r="P678" s="46">
        <f t="shared" si="63"/>
        <v>0.57979990471653164</v>
      </c>
      <c r="Q678" s="27">
        <v>10</v>
      </c>
      <c r="R678" s="44">
        <f t="shared" si="60"/>
        <v>3148500</v>
      </c>
      <c r="S678" s="29">
        <v>0</v>
      </c>
      <c r="T678" s="44">
        <f t="shared" si="64"/>
        <v>3148500</v>
      </c>
      <c r="U678" s="44">
        <f t="shared" si="65"/>
        <v>1825500</v>
      </c>
      <c r="V678" s="44"/>
    </row>
    <row r="679" spans="1:22" ht="14.5" x14ac:dyDescent="0.35">
      <c r="A679" s="47" t="str">
        <f t="shared" si="61"/>
        <v>JKT-GZ-E1029-2018</v>
      </c>
      <c r="B679" s="26">
        <v>43199</v>
      </c>
      <c r="C679" s="42">
        <v>2018</v>
      </c>
      <c r="D679" s="27" t="s">
        <v>425</v>
      </c>
      <c r="E679" s="27" t="s">
        <v>32</v>
      </c>
      <c r="F679" s="42" t="str" cm="1">
        <f t="array" ref="F679">_xlfn.IFS(E679="Bandung","BDG",E679="Surabaya","SBY",E679="Jakarta","JKT")</f>
        <v>JKT</v>
      </c>
      <c r="G679" s="27" t="s">
        <v>37</v>
      </c>
      <c r="H679" s="27" t="s">
        <v>178</v>
      </c>
      <c r="I679" s="27" t="s">
        <v>39</v>
      </c>
      <c r="J679" s="26">
        <v>43438</v>
      </c>
      <c r="K679" s="26">
        <v>43202</v>
      </c>
      <c r="L679" s="27">
        <f t="shared" si="62"/>
        <v>3</v>
      </c>
      <c r="M679" s="45">
        <v>24000</v>
      </c>
      <c r="N679" s="45">
        <v>39300</v>
      </c>
      <c r="O679" s="27">
        <v>142</v>
      </c>
      <c r="P679" s="46">
        <f t="shared" si="63"/>
        <v>0.38931297709923662</v>
      </c>
      <c r="Q679" s="27">
        <v>37</v>
      </c>
      <c r="R679" s="44">
        <f t="shared" si="60"/>
        <v>1454100</v>
      </c>
      <c r="S679" s="29">
        <v>0.01</v>
      </c>
      <c r="T679" s="44">
        <f t="shared" si="64"/>
        <v>1439559</v>
      </c>
      <c r="U679" s="44">
        <f t="shared" si="65"/>
        <v>551559</v>
      </c>
      <c r="V679" s="44"/>
    </row>
    <row r="680" spans="1:22" ht="14.5" x14ac:dyDescent="0.35">
      <c r="A680" s="47" t="str">
        <f t="shared" si="61"/>
        <v>JKT-GZ-E1029-2018</v>
      </c>
      <c r="B680" s="26">
        <v>43312</v>
      </c>
      <c r="C680" s="42">
        <v>2018</v>
      </c>
      <c r="D680" s="27" t="s">
        <v>425</v>
      </c>
      <c r="E680" s="27" t="s">
        <v>32</v>
      </c>
      <c r="F680" s="42" t="str" cm="1">
        <f t="array" ref="F680">_xlfn.IFS(E680="Bandung","BDG",E680="Surabaya","SBY",E680="Jakarta","JKT")</f>
        <v>JKT</v>
      </c>
      <c r="G680" s="27" t="s">
        <v>37</v>
      </c>
      <c r="H680" s="27" t="s">
        <v>309</v>
      </c>
      <c r="I680" s="27" t="s">
        <v>35</v>
      </c>
      <c r="J680" s="26">
        <v>43108</v>
      </c>
      <c r="K680" s="26">
        <v>43313</v>
      </c>
      <c r="L680" s="27">
        <f t="shared" si="62"/>
        <v>1</v>
      </c>
      <c r="M680" s="45">
        <v>50550</v>
      </c>
      <c r="N680" s="45">
        <v>82950</v>
      </c>
      <c r="O680" s="27">
        <v>69</v>
      </c>
      <c r="P680" s="46">
        <f t="shared" si="63"/>
        <v>0.39059674502712477</v>
      </c>
      <c r="Q680" s="27">
        <v>27</v>
      </c>
      <c r="R680" s="44">
        <f t="shared" si="60"/>
        <v>2239650</v>
      </c>
      <c r="S680" s="29">
        <v>0.04</v>
      </c>
      <c r="T680" s="44">
        <f t="shared" si="64"/>
        <v>2150064</v>
      </c>
      <c r="U680" s="44">
        <f t="shared" si="65"/>
        <v>785214</v>
      </c>
      <c r="V680" s="44"/>
    </row>
    <row r="681" spans="1:22" ht="14.5" x14ac:dyDescent="0.35">
      <c r="A681" s="47" t="str">
        <f t="shared" si="61"/>
        <v>SBY-GW-E1035-2017</v>
      </c>
      <c r="B681" s="26">
        <v>42946</v>
      </c>
      <c r="C681" s="42">
        <v>2017</v>
      </c>
      <c r="D681" s="27" t="s">
        <v>408</v>
      </c>
      <c r="E681" s="27" t="s">
        <v>41</v>
      </c>
      <c r="F681" s="42" t="str" cm="1">
        <f t="array" ref="F681">_xlfn.IFS(E681="Bandung","BDG",E681="Surabaya","SBY",E681="Jakarta","JKT")</f>
        <v>SBY</v>
      </c>
      <c r="G681" s="27" t="s">
        <v>71</v>
      </c>
      <c r="H681" s="27" t="s">
        <v>72</v>
      </c>
      <c r="I681" s="27" t="s">
        <v>73</v>
      </c>
      <c r="J681" s="26">
        <v>42947</v>
      </c>
      <c r="K681" s="26">
        <v>42947</v>
      </c>
      <c r="L681" s="27">
        <f t="shared" si="62"/>
        <v>1</v>
      </c>
      <c r="M681" s="45">
        <v>51300</v>
      </c>
      <c r="N681" s="45">
        <v>125100</v>
      </c>
      <c r="O681" s="27">
        <v>83</v>
      </c>
      <c r="P681" s="46">
        <f t="shared" si="63"/>
        <v>0.58992805755395683</v>
      </c>
      <c r="Q681" s="27">
        <v>16</v>
      </c>
      <c r="R681" s="44">
        <f t="shared" si="60"/>
        <v>2001600</v>
      </c>
      <c r="S681" s="29">
        <v>0.04</v>
      </c>
      <c r="T681" s="44">
        <f t="shared" si="64"/>
        <v>1921536</v>
      </c>
      <c r="U681" s="44">
        <f t="shared" si="65"/>
        <v>1100736</v>
      </c>
      <c r="V681" s="44"/>
    </row>
    <row r="682" spans="1:22" ht="14.5" x14ac:dyDescent="0.35">
      <c r="A682" s="47" t="str">
        <f t="shared" si="61"/>
        <v>SBY-GM-E1031-2020</v>
      </c>
      <c r="B682" s="26">
        <v>43844</v>
      </c>
      <c r="C682" s="42">
        <v>2020</v>
      </c>
      <c r="D682" s="27" t="s">
        <v>710</v>
      </c>
      <c r="E682" s="27" t="s">
        <v>41</v>
      </c>
      <c r="F682" s="42" t="str" cm="1">
        <f t="array" ref="F682">_xlfn.IFS(E682="Bandung","BDG",E682="Surabaya","SBY",E682="Jakarta","JKT")</f>
        <v>SBY</v>
      </c>
      <c r="G682" s="27" t="s">
        <v>48</v>
      </c>
      <c r="H682" s="27" t="s">
        <v>79</v>
      </c>
      <c r="I682" s="27" t="s">
        <v>39</v>
      </c>
      <c r="J682" s="26" t="s">
        <v>1765</v>
      </c>
      <c r="K682" s="26">
        <v>43845</v>
      </c>
      <c r="L682" s="27">
        <f t="shared" si="62"/>
        <v>1</v>
      </c>
      <c r="M682" s="45">
        <v>19500</v>
      </c>
      <c r="N682" s="45">
        <v>43200</v>
      </c>
      <c r="O682" s="27">
        <v>104</v>
      </c>
      <c r="P682" s="46">
        <f t="shared" si="63"/>
        <v>0.54861111111111116</v>
      </c>
      <c r="Q682" s="27">
        <v>46</v>
      </c>
      <c r="R682" s="44">
        <f t="shared" si="60"/>
        <v>1987200</v>
      </c>
      <c r="S682" s="29">
        <v>0.05</v>
      </c>
      <c r="T682" s="44">
        <f t="shared" si="64"/>
        <v>1887840</v>
      </c>
      <c r="U682" s="44">
        <f t="shared" si="65"/>
        <v>990840</v>
      </c>
      <c r="V682" s="44"/>
    </row>
    <row r="683" spans="1:22" ht="14.5" x14ac:dyDescent="0.35">
      <c r="A683" s="47" t="str">
        <f t="shared" si="61"/>
        <v>SBY-GH-E1037-2019</v>
      </c>
      <c r="B683" s="26">
        <v>43785</v>
      </c>
      <c r="C683" s="42">
        <v>2019</v>
      </c>
      <c r="D683" s="27" t="s">
        <v>702</v>
      </c>
      <c r="E683" s="27" t="s">
        <v>41</v>
      </c>
      <c r="F683" s="42" t="str" cm="1">
        <f t="array" ref="F683">_xlfn.IFS(E683="Bandung","BDG",E683="Surabaya","SBY",E683="Jakarta","JKT")</f>
        <v>SBY</v>
      </c>
      <c r="G683" s="27" t="s">
        <v>83</v>
      </c>
      <c r="H683" s="27" t="s">
        <v>107</v>
      </c>
      <c r="I683" s="27" t="s">
        <v>73</v>
      </c>
      <c r="J683" s="26" t="s">
        <v>1759</v>
      </c>
      <c r="K683" s="26">
        <v>43786</v>
      </c>
      <c r="L683" s="27">
        <f t="shared" si="62"/>
        <v>1</v>
      </c>
      <c r="M683" s="45">
        <v>71850</v>
      </c>
      <c r="N683" s="45">
        <v>179550</v>
      </c>
      <c r="O683" s="27">
        <v>191</v>
      </c>
      <c r="P683" s="46">
        <f t="shared" si="63"/>
        <v>0.59983291562238927</v>
      </c>
      <c r="Q683" s="27">
        <v>49</v>
      </c>
      <c r="R683" s="44">
        <f t="shared" si="60"/>
        <v>8797950</v>
      </c>
      <c r="S683" s="29">
        <v>0.09</v>
      </c>
      <c r="T683" s="44">
        <f t="shared" si="64"/>
        <v>8006134.5</v>
      </c>
      <c r="U683" s="44">
        <f t="shared" si="65"/>
        <v>4485484.5</v>
      </c>
      <c r="V683" s="44"/>
    </row>
    <row r="684" spans="1:22" ht="14.5" x14ac:dyDescent="0.35">
      <c r="A684" s="47" t="str">
        <f t="shared" si="61"/>
        <v>JKT-GN-E1029-2018</v>
      </c>
      <c r="B684" s="26">
        <v>43319</v>
      </c>
      <c r="C684" s="42">
        <v>2018</v>
      </c>
      <c r="D684" s="27" t="s">
        <v>574</v>
      </c>
      <c r="E684" s="27" t="s">
        <v>32</v>
      </c>
      <c r="F684" s="42" t="str" cm="1">
        <f t="array" ref="F684">_xlfn.IFS(E684="Bandung","BDG",E684="Surabaya","SBY",E684="Jakarta","JKT")</f>
        <v>JKT</v>
      </c>
      <c r="G684" s="27" t="s">
        <v>37</v>
      </c>
      <c r="H684" s="27" t="s">
        <v>38</v>
      </c>
      <c r="I684" s="27" t="s">
        <v>39</v>
      </c>
      <c r="J684" s="26">
        <v>43351</v>
      </c>
      <c r="K684" s="26">
        <v>43321</v>
      </c>
      <c r="L684" s="27">
        <f t="shared" si="62"/>
        <v>2</v>
      </c>
      <c r="M684" s="45">
        <v>35850</v>
      </c>
      <c r="N684" s="45">
        <v>63900</v>
      </c>
      <c r="O684" s="27">
        <v>84</v>
      </c>
      <c r="P684" s="46">
        <f t="shared" si="63"/>
        <v>0.43896713615023475</v>
      </c>
      <c r="Q684" s="27">
        <v>8</v>
      </c>
      <c r="R684" s="44">
        <f t="shared" si="60"/>
        <v>511200</v>
      </c>
      <c r="S684" s="29">
        <v>0.1</v>
      </c>
      <c r="T684" s="44">
        <f t="shared" si="64"/>
        <v>460080</v>
      </c>
      <c r="U684" s="44">
        <f t="shared" si="65"/>
        <v>173280</v>
      </c>
      <c r="V684" s="44"/>
    </row>
    <row r="685" spans="1:22" ht="14.5" x14ac:dyDescent="0.35">
      <c r="A685" s="47" t="str">
        <f t="shared" si="61"/>
        <v>JKT-GN-E1029-2018</v>
      </c>
      <c r="B685" s="26">
        <v>43319</v>
      </c>
      <c r="C685" s="42">
        <v>2018</v>
      </c>
      <c r="D685" s="27" t="s">
        <v>574</v>
      </c>
      <c r="E685" s="27" t="s">
        <v>32</v>
      </c>
      <c r="F685" s="42" t="str" cm="1">
        <f t="array" ref="F685">_xlfn.IFS(E685="Bandung","BDG",E685="Surabaya","SBY",E685="Jakarta","JKT")</f>
        <v>JKT</v>
      </c>
      <c r="G685" s="27" t="s">
        <v>37</v>
      </c>
      <c r="H685" s="27" t="s">
        <v>204</v>
      </c>
      <c r="I685" s="27" t="s">
        <v>39</v>
      </c>
      <c r="J685" s="26">
        <v>43320</v>
      </c>
      <c r="K685" s="26">
        <v>43320</v>
      </c>
      <c r="L685" s="27">
        <f t="shared" si="62"/>
        <v>1</v>
      </c>
      <c r="M685" s="45">
        <v>3600</v>
      </c>
      <c r="N685" s="45">
        <v>18900</v>
      </c>
      <c r="O685" s="27">
        <v>148</v>
      </c>
      <c r="P685" s="46">
        <f t="shared" si="63"/>
        <v>0.80952380952380953</v>
      </c>
      <c r="Q685" s="27">
        <v>35</v>
      </c>
      <c r="R685" s="44">
        <f t="shared" si="60"/>
        <v>661500</v>
      </c>
      <c r="S685" s="29">
        <v>0.1</v>
      </c>
      <c r="T685" s="44">
        <f t="shared" si="64"/>
        <v>595350</v>
      </c>
      <c r="U685" s="44">
        <f t="shared" si="65"/>
        <v>469350</v>
      </c>
      <c r="V685" s="44"/>
    </row>
    <row r="686" spans="1:22" ht="14.5" x14ac:dyDescent="0.35">
      <c r="A686" s="47" t="str">
        <f t="shared" si="61"/>
        <v>JKT-GS-E1028-2016</v>
      </c>
      <c r="B686" s="26">
        <v>42654</v>
      </c>
      <c r="C686" s="42">
        <v>2016</v>
      </c>
      <c r="D686" s="27" t="s">
        <v>184</v>
      </c>
      <c r="E686" s="27" t="s">
        <v>32</v>
      </c>
      <c r="F686" s="42" t="str" cm="1">
        <f t="array" ref="F686">_xlfn.IFS(E686="Bandung","BDG",E686="Surabaya","SBY",E686="Jakarta","JKT")</f>
        <v>JKT</v>
      </c>
      <c r="G686" s="27" t="s">
        <v>33</v>
      </c>
      <c r="H686" s="27" t="s">
        <v>185</v>
      </c>
      <c r="I686" s="27" t="s">
        <v>35</v>
      </c>
      <c r="J686" s="26" t="s">
        <v>1568</v>
      </c>
      <c r="K686" s="26">
        <v>42656</v>
      </c>
      <c r="L686" s="27">
        <f t="shared" si="62"/>
        <v>2</v>
      </c>
      <c r="M686" s="45">
        <v>19950</v>
      </c>
      <c r="N686" s="45">
        <v>31200</v>
      </c>
      <c r="O686" s="27">
        <v>44</v>
      </c>
      <c r="P686" s="46">
        <f t="shared" si="63"/>
        <v>0.36057692307692307</v>
      </c>
      <c r="Q686" s="27">
        <v>44</v>
      </c>
      <c r="R686" s="44">
        <f t="shared" si="60"/>
        <v>1372800</v>
      </c>
      <c r="S686" s="29">
        <v>0.04</v>
      </c>
      <c r="T686" s="44">
        <f t="shared" si="64"/>
        <v>1317888</v>
      </c>
      <c r="U686" s="44">
        <f t="shared" si="65"/>
        <v>440088</v>
      </c>
      <c r="V686" s="44"/>
    </row>
    <row r="687" spans="1:22" ht="14.5" x14ac:dyDescent="0.35">
      <c r="A687" s="47" t="str">
        <f t="shared" si="61"/>
        <v>JKT-GS-E1028-2017</v>
      </c>
      <c r="B687" s="26">
        <v>42780</v>
      </c>
      <c r="C687" s="42">
        <v>2017</v>
      </c>
      <c r="D687" s="27" t="s">
        <v>184</v>
      </c>
      <c r="E687" s="27" t="s">
        <v>32</v>
      </c>
      <c r="F687" s="42" t="str" cm="1">
        <f t="array" ref="F687">_xlfn.IFS(E687="Bandung","BDG",E687="Surabaya","SBY",E687="Jakarta","JKT")</f>
        <v>JKT</v>
      </c>
      <c r="G687" s="27" t="s">
        <v>33</v>
      </c>
      <c r="H687" s="27" t="s">
        <v>293</v>
      </c>
      <c r="I687" s="27" t="s">
        <v>35</v>
      </c>
      <c r="J687" s="26">
        <v>42781</v>
      </c>
      <c r="K687" s="26">
        <v>42781</v>
      </c>
      <c r="L687" s="27">
        <f t="shared" si="62"/>
        <v>1</v>
      </c>
      <c r="M687" s="45">
        <v>67950</v>
      </c>
      <c r="N687" s="45">
        <v>109500</v>
      </c>
      <c r="O687" s="27">
        <v>179</v>
      </c>
      <c r="P687" s="46">
        <f t="shared" si="63"/>
        <v>0.37945205479452054</v>
      </c>
      <c r="Q687" s="27">
        <v>45</v>
      </c>
      <c r="R687" s="44">
        <f t="shared" si="60"/>
        <v>4927500</v>
      </c>
      <c r="S687" s="29">
        <v>0.04</v>
      </c>
      <c r="T687" s="44">
        <f t="shared" si="64"/>
        <v>4730400</v>
      </c>
      <c r="U687" s="44">
        <f t="shared" si="65"/>
        <v>1672650</v>
      </c>
      <c r="V687" s="44"/>
    </row>
    <row r="688" spans="1:22" ht="14.5" x14ac:dyDescent="0.35">
      <c r="A688" s="47" t="str">
        <f t="shared" si="61"/>
        <v>SBY-GN-E1040-2017</v>
      </c>
      <c r="B688" s="26">
        <v>42737</v>
      </c>
      <c r="C688" s="42">
        <v>2017</v>
      </c>
      <c r="D688" s="27" t="s">
        <v>272</v>
      </c>
      <c r="E688" s="27" t="s">
        <v>41</v>
      </c>
      <c r="F688" s="42" t="str" cm="1">
        <f t="array" ref="F688">_xlfn.IFS(E688="Bandung","BDG",E688="Surabaya","SBY",E688="Jakarta","JKT")</f>
        <v>SBY</v>
      </c>
      <c r="G688" s="27" t="s">
        <v>160</v>
      </c>
      <c r="H688" s="27" t="s">
        <v>67</v>
      </c>
      <c r="I688" s="27" t="s">
        <v>35</v>
      </c>
      <c r="J688" s="26">
        <v>42738</v>
      </c>
      <c r="K688" s="26">
        <v>42795</v>
      </c>
      <c r="L688" s="27">
        <f t="shared" si="62"/>
        <v>58</v>
      </c>
      <c r="M688" s="45">
        <v>540300</v>
      </c>
      <c r="N688" s="45">
        <v>871500</v>
      </c>
      <c r="O688" s="27">
        <v>57</v>
      </c>
      <c r="P688" s="46">
        <f t="shared" si="63"/>
        <v>0.38003442340791738</v>
      </c>
      <c r="Q688" s="27">
        <v>7</v>
      </c>
      <c r="R688" s="44">
        <f t="shared" si="60"/>
        <v>6100500</v>
      </c>
      <c r="S688" s="29">
        <v>0.1</v>
      </c>
      <c r="T688" s="44">
        <f t="shared" si="64"/>
        <v>5490450</v>
      </c>
      <c r="U688" s="44">
        <f t="shared" si="65"/>
        <v>1708350</v>
      </c>
      <c r="V688" s="44"/>
    </row>
    <row r="689" spans="1:22" ht="14.5" x14ac:dyDescent="0.35">
      <c r="A689" s="47" t="str">
        <f t="shared" si="61"/>
        <v>SBY-GM-E1036-2020</v>
      </c>
      <c r="B689" s="26">
        <v>43877</v>
      </c>
      <c r="C689" s="42">
        <v>2020</v>
      </c>
      <c r="D689" s="27" t="s">
        <v>716</v>
      </c>
      <c r="E689" s="27" t="s">
        <v>41</v>
      </c>
      <c r="F689" s="42" t="str" cm="1">
        <f t="array" ref="F689">_xlfn.IFS(E689="Bandung","BDG",E689="Surabaya","SBY",E689="Jakarta","JKT")</f>
        <v>SBY</v>
      </c>
      <c r="G689" s="27" t="s">
        <v>78</v>
      </c>
      <c r="H689" s="27" t="s">
        <v>142</v>
      </c>
      <c r="I689" s="27" t="s">
        <v>35</v>
      </c>
      <c r="J689" s="26" t="s">
        <v>1772</v>
      </c>
      <c r="K689" s="26">
        <v>43878</v>
      </c>
      <c r="L689" s="27">
        <f t="shared" si="62"/>
        <v>1</v>
      </c>
      <c r="M689" s="45">
        <v>57600</v>
      </c>
      <c r="N689" s="45">
        <v>94500</v>
      </c>
      <c r="O689" s="27">
        <v>75</v>
      </c>
      <c r="P689" s="46">
        <f t="shared" si="63"/>
        <v>0.39047619047619048</v>
      </c>
      <c r="Q689" s="27">
        <v>35</v>
      </c>
      <c r="R689" s="44">
        <f t="shared" si="60"/>
        <v>3307500</v>
      </c>
      <c r="S689" s="29">
        <v>0.03</v>
      </c>
      <c r="T689" s="44">
        <f t="shared" si="64"/>
        <v>3208275</v>
      </c>
      <c r="U689" s="44">
        <f t="shared" si="65"/>
        <v>1192275</v>
      </c>
      <c r="V689" s="44"/>
    </row>
    <row r="690" spans="1:22" ht="14.5" x14ac:dyDescent="0.35">
      <c r="A690" s="47" t="str">
        <f t="shared" si="61"/>
        <v>JKT-GH-E1029-2016</v>
      </c>
      <c r="B690" s="26">
        <v>42546</v>
      </c>
      <c r="C690" s="42">
        <v>2016</v>
      </c>
      <c r="D690" s="27" t="s">
        <v>74</v>
      </c>
      <c r="E690" s="27" t="s">
        <v>32</v>
      </c>
      <c r="F690" s="42" t="str" cm="1">
        <f t="array" ref="F690">_xlfn.IFS(E690="Bandung","BDG",E690="Surabaya","SBY",E690="Jakarta","JKT")</f>
        <v>JKT</v>
      </c>
      <c r="G690" s="27" t="s">
        <v>37</v>
      </c>
      <c r="H690" s="27" t="s">
        <v>69</v>
      </c>
      <c r="I690" s="27" t="s">
        <v>39</v>
      </c>
      <c r="J690" s="26" t="s">
        <v>1556</v>
      </c>
      <c r="K690" s="26">
        <v>42546</v>
      </c>
      <c r="L690" s="27">
        <f t="shared" si="62"/>
        <v>0</v>
      </c>
      <c r="M690" s="45">
        <v>10650</v>
      </c>
      <c r="N690" s="45">
        <v>17100</v>
      </c>
      <c r="O690" s="27">
        <v>143</v>
      </c>
      <c r="P690" s="46">
        <f t="shared" si="63"/>
        <v>0.37719298245614036</v>
      </c>
      <c r="Q690" s="27">
        <v>38</v>
      </c>
      <c r="R690" s="44">
        <f t="shared" si="60"/>
        <v>649800</v>
      </c>
      <c r="S690" s="29">
        <v>0.02</v>
      </c>
      <c r="T690" s="44">
        <f t="shared" si="64"/>
        <v>636804</v>
      </c>
      <c r="U690" s="44">
        <f t="shared" si="65"/>
        <v>232104</v>
      </c>
      <c r="V690" s="44"/>
    </row>
    <row r="691" spans="1:22" ht="14.5" x14ac:dyDescent="0.35">
      <c r="A691" s="47" t="str">
        <f t="shared" si="61"/>
        <v>SBY-GH-E1036-2017</v>
      </c>
      <c r="B691" s="26">
        <v>43076</v>
      </c>
      <c r="C691" s="42">
        <v>2017</v>
      </c>
      <c r="D691" s="27" t="s">
        <v>474</v>
      </c>
      <c r="E691" s="27" t="s">
        <v>41</v>
      </c>
      <c r="F691" s="42" t="str" cm="1">
        <f t="array" ref="F691">_xlfn.IFS(E691="Bandung","BDG",E691="Surabaya","SBY",E691="Jakarta","JKT")</f>
        <v>SBY</v>
      </c>
      <c r="G691" s="27" t="s">
        <v>78</v>
      </c>
      <c r="H691" s="27" t="s">
        <v>182</v>
      </c>
      <c r="I691" s="27" t="s">
        <v>39</v>
      </c>
      <c r="J691" s="26">
        <v>43078</v>
      </c>
      <c r="K691" s="26">
        <v>42990</v>
      </c>
      <c r="L691" s="27">
        <f t="shared" si="62"/>
        <v>-86</v>
      </c>
      <c r="M691" s="45">
        <v>166650</v>
      </c>
      <c r="N691" s="45">
        <v>297600</v>
      </c>
      <c r="O691" s="27">
        <v>89</v>
      </c>
      <c r="P691" s="46">
        <f t="shared" si="63"/>
        <v>0.44002016129032256</v>
      </c>
      <c r="Q691" s="27">
        <v>28</v>
      </c>
      <c r="R691" s="44">
        <f t="shared" si="60"/>
        <v>8332800</v>
      </c>
      <c r="S691" s="29">
        <v>0.06</v>
      </c>
      <c r="T691" s="44">
        <f t="shared" si="64"/>
        <v>7832832</v>
      </c>
      <c r="U691" s="44">
        <f t="shared" si="65"/>
        <v>3166632</v>
      </c>
      <c r="V691" s="44"/>
    </row>
    <row r="692" spans="1:22" ht="14.5" x14ac:dyDescent="0.35">
      <c r="A692" s="47" t="str">
        <f t="shared" si="61"/>
        <v>SBY-GG-E1030-2017</v>
      </c>
      <c r="B692" s="26">
        <v>43038</v>
      </c>
      <c r="C692" s="42">
        <v>2017</v>
      </c>
      <c r="D692" s="27" t="s">
        <v>453</v>
      </c>
      <c r="E692" s="27" t="s">
        <v>41</v>
      </c>
      <c r="F692" s="42" t="str" cm="1">
        <f t="array" ref="F692">_xlfn.IFS(E692="Bandung","BDG",E692="Surabaya","SBY",E692="Jakarta","JKT")</f>
        <v>SBY</v>
      </c>
      <c r="G692" s="27" t="s">
        <v>42</v>
      </c>
      <c r="H692" s="27" t="s">
        <v>440</v>
      </c>
      <c r="I692" s="27" t="s">
        <v>35</v>
      </c>
      <c r="J692" s="26">
        <v>43039</v>
      </c>
      <c r="K692" s="26">
        <v>43039</v>
      </c>
      <c r="L692" s="27">
        <f t="shared" si="62"/>
        <v>1</v>
      </c>
      <c r="M692" s="45">
        <v>27600</v>
      </c>
      <c r="N692" s="45">
        <v>43200</v>
      </c>
      <c r="O692" s="27">
        <v>111</v>
      </c>
      <c r="P692" s="46">
        <f t="shared" si="63"/>
        <v>0.3611111111111111</v>
      </c>
      <c r="Q692" s="27">
        <v>10</v>
      </c>
      <c r="R692" s="44">
        <f t="shared" si="60"/>
        <v>432000</v>
      </c>
      <c r="S692" s="29">
        <v>0.01</v>
      </c>
      <c r="T692" s="44">
        <f t="shared" si="64"/>
        <v>427680</v>
      </c>
      <c r="U692" s="44">
        <f t="shared" si="65"/>
        <v>151680</v>
      </c>
      <c r="V692" s="44"/>
    </row>
    <row r="693" spans="1:22" ht="14.5" x14ac:dyDescent="0.35">
      <c r="A693" s="47" t="str">
        <f t="shared" si="61"/>
        <v>SBY-GG-E1030-2019</v>
      </c>
      <c r="B693" s="26">
        <v>43563</v>
      </c>
      <c r="C693" s="42">
        <v>2019</v>
      </c>
      <c r="D693" s="27" t="s">
        <v>453</v>
      </c>
      <c r="E693" s="27" t="s">
        <v>41</v>
      </c>
      <c r="F693" s="42" t="str" cm="1">
        <f t="array" ref="F693">_xlfn.IFS(E693="Bandung","BDG",E693="Surabaya","SBY",E693="Jakarta","JKT")</f>
        <v>SBY</v>
      </c>
      <c r="G693" s="27" t="s">
        <v>42</v>
      </c>
      <c r="H693" s="27" t="s">
        <v>363</v>
      </c>
      <c r="I693" s="27" t="s">
        <v>236</v>
      </c>
      <c r="J693" s="26">
        <v>43570</v>
      </c>
      <c r="K693" s="26">
        <v>43570</v>
      </c>
      <c r="L693" s="27">
        <f t="shared" si="62"/>
        <v>7</v>
      </c>
      <c r="M693" s="45">
        <v>5669850</v>
      </c>
      <c r="N693" s="45">
        <v>8999850</v>
      </c>
      <c r="O693" s="27">
        <v>104</v>
      </c>
      <c r="P693" s="46">
        <f t="shared" si="63"/>
        <v>0.37000616676944614</v>
      </c>
      <c r="Q693" s="27">
        <v>17</v>
      </c>
      <c r="R693" s="44">
        <f t="shared" si="60"/>
        <v>152997450</v>
      </c>
      <c r="S693" s="29">
        <v>0.08</v>
      </c>
      <c r="T693" s="44">
        <f t="shared" si="64"/>
        <v>140757654</v>
      </c>
      <c r="U693" s="44">
        <f t="shared" si="65"/>
        <v>44370204</v>
      </c>
      <c r="V693" s="44"/>
    </row>
    <row r="694" spans="1:22" ht="14.5" x14ac:dyDescent="0.35">
      <c r="A694" s="47" t="str">
        <f t="shared" si="61"/>
        <v>JKT-GS-E1029-2016</v>
      </c>
      <c r="B694" s="26">
        <v>42684</v>
      </c>
      <c r="C694" s="42">
        <v>2016</v>
      </c>
      <c r="D694" s="27" t="s">
        <v>220</v>
      </c>
      <c r="E694" s="27" t="s">
        <v>32</v>
      </c>
      <c r="F694" s="42" t="str" cm="1">
        <f t="array" ref="F694">_xlfn.IFS(E694="Bandung","BDG",E694="Surabaya","SBY",E694="Jakarta","JKT")</f>
        <v>JKT</v>
      </c>
      <c r="G694" s="27" t="s">
        <v>37</v>
      </c>
      <c r="H694" s="27" t="s">
        <v>221</v>
      </c>
      <c r="I694" s="27" t="s">
        <v>35</v>
      </c>
      <c r="J694" s="26">
        <v>42685</v>
      </c>
      <c r="K694" s="26">
        <v>42685</v>
      </c>
      <c r="L694" s="27">
        <f t="shared" si="62"/>
        <v>1</v>
      </c>
      <c r="M694" s="45">
        <v>29100</v>
      </c>
      <c r="N694" s="45">
        <v>46200</v>
      </c>
      <c r="O694" s="27">
        <v>119</v>
      </c>
      <c r="P694" s="46">
        <f t="shared" si="63"/>
        <v>0.37012987012987014</v>
      </c>
      <c r="Q694" s="27">
        <v>38</v>
      </c>
      <c r="R694" s="44">
        <f t="shared" si="60"/>
        <v>1755600</v>
      </c>
      <c r="S694" s="29">
        <v>0.04</v>
      </c>
      <c r="T694" s="44">
        <f t="shared" si="64"/>
        <v>1685376</v>
      </c>
      <c r="U694" s="44">
        <f t="shared" si="65"/>
        <v>579576</v>
      </c>
      <c r="V694" s="44"/>
    </row>
    <row r="695" spans="1:22" ht="14.5" x14ac:dyDescent="0.35">
      <c r="A695" s="47" t="str">
        <f t="shared" si="61"/>
        <v>JKT-GS-E1029-2017</v>
      </c>
      <c r="B695" s="26">
        <v>42849</v>
      </c>
      <c r="C695" s="42">
        <v>2017</v>
      </c>
      <c r="D695" s="27" t="s">
        <v>220</v>
      </c>
      <c r="E695" s="27" t="s">
        <v>32</v>
      </c>
      <c r="F695" s="42" t="str" cm="1">
        <f t="array" ref="F695">_xlfn.IFS(E695="Bandung","BDG",E695="Surabaya","SBY",E695="Jakarta","JKT")</f>
        <v>JKT</v>
      </c>
      <c r="G695" s="27" t="s">
        <v>37</v>
      </c>
      <c r="H695" s="27" t="s">
        <v>247</v>
      </c>
      <c r="I695" s="27" t="s">
        <v>236</v>
      </c>
      <c r="J695" s="26" t="s">
        <v>1605</v>
      </c>
      <c r="K695" s="26">
        <v>42850</v>
      </c>
      <c r="L695" s="27">
        <f t="shared" si="62"/>
        <v>1</v>
      </c>
      <c r="M695" s="45">
        <v>842400</v>
      </c>
      <c r="N695" s="45">
        <v>2054699.9999999998</v>
      </c>
      <c r="O695" s="27">
        <v>51</v>
      </c>
      <c r="P695" s="46">
        <f t="shared" si="63"/>
        <v>0.59001314060446775</v>
      </c>
      <c r="Q695" s="27">
        <v>18</v>
      </c>
      <c r="R695" s="44">
        <f t="shared" si="60"/>
        <v>36984599.999999993</v>
      </c>
      <c r="S695" s="29">
        <v>0.02</v>
      </c>
      <c r="T695" s="44">
        <f t="shared" si="64"/>
        <v>36244907.999999993</v>
      </c>
      <c r="U695" s="44">
        <f t="shared" si="65"/>
        <v>21081707.999999993</v>
      </c>
      <c r="V695" s="44"/>
    </row>
    <row r="696" spans="1:22" ht="14.5" x14ac:dyDescent="0.35">
      <c r="A696" s="47" t="str">
        <f t="shared" si="61"/>
        <v>SBY-GN-E1039-2017</v>
      </c>
      <c r="B696" s="26">
        <v>43032</v>
      </c>
      <c r="C696" s="42">
        <v>2017</v>
      </c>
      <c r="D696" s="27" t="s">
        <v>450</v>
      </c>
      <c r="E696" s="27" t="s">
        <v>41</v>
      </c>
      <c r="F696" s="42" t="str" cm="1">
        <f t="array" ref="F696">_xlfn.IFS(E696="Bandung","BDG",E696="Surabaya","SBY",E696="Jakarta","JKT")</f>
        <v>SBY</v>
      </c>
      <c r="G696" s="27" t="s">
        <v>103</v>
      </c>
      <c r="H696" s="27" t="s">
        <v>451</v>
      </c>
      <c r="I696" s="27" t="s">
        <v>35</v>
      </c>
      <c r="J696" s="26" t="s">
        <v>1636</v>
      </c>
      <c r="K696" s="26">
        <v>43034</v>
      </c>
      <c r="L696" s="27">
        <f t="shared" si="62"/>
        <v>2</v>
      </c>
      <c r="M696" s="45">
        <v>27300</v>
      </c>
      <c r="N696" s="45">
        <v>42600</v>
      </c>
      <c r="O696" s="27">
        <v>19</v>
      </c>
      <c r="P696" s="46">
        <f t="shared" si="63"/>
        <v>0.35915492957746481</v>
      </c>
      <c r="Q696" s="27">
        <v>19</v>
      </c>
      <c r="R696" s="44">
        <f t="shared" si="60"/>
        <v>809400</v>
      </c>
      <c r="S696" s="29">
        <v>0</v>
      </c>
      <c r="T696" s="44">
        <f t="shared" si="64"/>
        <v>809400</v>
      </c>
      <c r="U696" s="44">
        <f t="shared" si="65"/>
        <v>290700</v>
      </c>
      <c r="V696" s="44"/>
    </row>
    <row r="697" spans="1:22" ht="14.5" x14ac:dyDescent="0.35">
      <c r="A697" s="47" t="str">
        <f t="shared" si="61"/>
        <v>SBY-GN-E1039-2018</v>
      </c>
      <c r="B697" s="26">
        <v>43427</v>
      </c>
      <c r="C697" s="42">
        <v>2018</v>
      </c>
      <c r="D697" s="27" t="s">
        <v>450</v>
      </c>
      <c r="E697" s="27" t="s">
        <v>41</v>
      </c>
      <c r="F697" s="42" t="str" cm="1">
        <f t="array" ref="F697">_xlfn.IFS(E697="Bandung","BDG",E697="Surabaya","SBY",E697="Jakarta","JKT")</f>
        <v>SBY</v>
      </c>
      <c r="G697" s="27" t="s">
        <v>103</v>
      </c>
      <c r="H697" s="27" t="s">
        <v>363</v>
      </c>
      <c r="I697" s="27" t="s">
        <v>236</v>
      </c>
      <c r="J697" s="26" t="s">
        <v>1705</v>
      </c>
      <c r="K697" s="26">
        <v>43428</v>
      </c>
      <c r="L697" s="27">
        <f t="shared" si="62"/>
        <v>1</v>
      </c>
      <c r="M697" s="45">
        <v>5669850</v>
      </c>
      <c r="N697" s="45">
        <v>8999850</v>
      </c>
      <c r="O697" s="27">
        <v>87</v>
      </c>
      <c r="P697" s="46">
        <f t="shared" si="63"/>
        <v>0.37000616676944614</v>
      </c>
      <c r="Q697" s="27">
        <v>46</v>
      </c>
      <c r="R697" s="44">
        <f t="shared" si="60"/>
        <v>413993100</v>
      </c>
      <c r="S697" s="29">
        <v>7.0000000000000007E-2</v>
      </c>
      <c r="T697" s="44">
        <f t="shared" si="64"/>
        <v>385013583</v>
      </c>
      <c r="U697" s="44">
        <f t="shared" si="65"/>
        <v>124200483</v>
      </c>
      <c r="V697" s="44"/>
    </row>
    <row r="698" spans="1:22" ht="14.5" x14ac:dyDescent="0.35">
      <c r="A698" s="47" t="str">
        <f t="shared" si="61"/>
        <v>SBY-FP-E1033-2017</v>
      </c>
      <c r="B698" s="26">
        <v>42894</v>
      </c>
      <c r="C698" s="42">
        <v>2017</v>
      </c>
      <c r="D698" s="27" t="s">
        <v>379</v>
      </c>
      <c r="E698" s="27" t="s">
        <v>41</v>
      </c>
      <c r="F698" s="42" t="str" cm="1">
        <f t="array" ref="F698">_xlfn.IFS(E698="Bandung","BDG",E698="Surabaya","SBY",E698="Jakarta","JKT")</f>
        <v>SBY</v>
      </c>
      <c r="G698" s="27" t="s">
        <v>60</v>
      </c>
      <c r="H698" s="27" t="s">
        <v>198</v>
      </c>
      <c r="I698" s="27" t="s">
        <v>35</v>
      </c>
      <c r="J698" s="26">
        <v>42984</v>
      </c>
      <c r="K698" s="26">
        <v>42895</v>
      </c>
      <c r="L698" s="27">
        <f t="shared" si="62"/>
        <v>1</v>
      </c>
      <c r="M698" s="45">
        <v>41100</v>
      </c>
      <c r="N698" s="45">
        <v>67350</v>
      </c>
      <c r="O698" s="27">
        <v>6</v>
      </c>
      <c r="P698" s="46">
        <f t="shared" si="63"/>
        <v>0.38975501113585748</v>
      </c>
      <c r="Q698" s="27">
        <v>6</v>
      </c>
      <c r="R698" s="44">
        <f t="shared" si="60"/>
        <v>404100</v>
      </c>
      <c r="S698" s="29">
        <v>0.03</v>
      </c>
      <c r="T698" s="44">
        <f t="shared" si="64"/>
        <v>391977</v>
      </c>
      <c r="U698" s="44">
        <f t="shared" si="65"/>
        <v>145377</v>
      </c>
      <c r="V698" s="44"/>
    </row>
    <row r="699" spans="1:22" ht="14.5" x14ac:dyDescent="0.35">
      <c r="A699" s="47" t="str">
        <f t="shared" si="61"/>
        <v>SBY-FP-E1033-2018</v>
      </c>
      <c r="B699" s="26">
        <v>43325</v>
      </c>
      <c r="C699" s="42">
        <v>2018</v>
      </c>
      <c r="D699" s="27" t="s">
        <v>379</v>
      </c>
      <c r="E699" s="27" t="s">
        <v>41</v>
      </c>
      <c r="F699" s="42" t="str" cm="1">
        <f t="array" ref="F699">_xlfn.IFS(E699="Bandung","BDG",E699="Surabaya","SBY",E699="Jakarta","JKT")</f>
        <v>SBY</v>
      </c>
      <c r="G699" s="27" t="s">
        <v>60</v>
      </c>
      <c r="H699" s="27" t="s">
        <v>473</v>
      </c>
      <c r="I699" s="27" t="s">
        <v>35</v>
      </c>
      <c r="J699" s="26" t="s">
        <v>1684</v>
      </c>
      <c r="K699" s="26">
        <v>43326</v>
      </c>
      <c r="L699" s="27">
        <f t="shared" si="62"/>
        <v>1</v>
      </c>
      <c r="M699" s="45">
        <v>60450.000000000007</v>
      </c>
      <c r="N699" s="45">
        <v>140700</v>
      </c>
      <c r="O699" s="27">
        <v>48</v>
      </c>
      <c r="P699" s="46">
        <f t="shared" si="63"/>
        <v>0.57036247334754797</v>
      </c>
      <c r="Q699" s="27">
        <v>31</v>
      </c>
      <c r="R699" s="44">
        <f t="shared" si="60"/>
        <v>4361700</v>
      </c>
      <c r="S699" s="29">
        <v>0.08</v>
      </c>
      <c r="T699" s="44">
        <f t="shared" si="64"/>
        <v>4012764</v>
      </c>
      <c r="U699" s="44">
        <f t="shared" si="65"/>
        <v>2138814</v>
      </c>
      <c r="V699" s="44"/>
    </row>
    <row r="700" spans="1:22" ht="14.5" x14ac:dyDescent="0.35">
      <c r="A700" s="47" t="str">
        <f t="shared" si="61"/>
        <v>JKT-FY-E1028-2018</v>
      </c>
      <c r="B700" s="26">
        <v>43215</v>
      </c>
      <c r="C700" s="42">
        <v>2018</v>
      </c>
      <c r="D700" s="27" t="s">
        <v>533</v>
      </c>
      <c r="E700" s="27" t="s">
        <v>32</v>
      </c>
      <c r="F700" s="42" t="str" cm="1">
        <f t="array" ref="F700">_xlfn.IFS(E700="Bandung","BDG",E700="Surabaya","SBY",E700="Jakarta","JKT")</f>
        <v>JKT</v>
      </c>
      <c r="G700" s="27" t="s">
        <v>33</v>
      </c>
      <c r="H700" s="27" t="s">
        <v>158</v>
      </c>
      <c r="I700" s="27" t="s">
        <v>73</v>
      </c>
      <c r="J700" s="26">
        <v>43216</v>
      </c>
      <c r="K700" s="26">
        <v>43216</v>
      </c>
      <c r="L700" s="27">
        <f t="shared" si="62"/>
        <v>1</v>
      </c>
      <c r="M700" s="45">
        <v>302700</v>
      </c>
      <c r="N700" s="45">
        <v>531150</v>
      </c>
      <c r="O700" s="27">
        <v>39</v>
      </c>
      <c r="P700" s="46">
        <f t="shared" si="63"/>
        <v>0.43010449025698955</v>
      </c>
      <c r="Q700" s="27">
        <v>1</v>
      </c>
      <c r="R700" s="44">
        <f t="shared" si="60"/>
        <v>531150</v>
      </c>
      <c r="S700" s="29">
        <v>0</v>
      </c>
      <c r="T700" s="44">
        <f t="shared" si="64"/>
        <v>531150</v>
      </c>
      <c r="U700" s="44">
        <f t="shared" si="65"/>
        <v>228450</v>
      </c>
      <c r="V700" s="44"/>
    </row>
    <row r="701" spans="1:22" ht="14.5" x14ac:dyDescent="0.35">
      <c r="A701" s="47" t="str">
        <f t="shared" si="61"/>
        <v>SBY-FM-E1031-2020</v>
      </c>
      <c r="B701" s="26">
        <v>43883</v>
      </c>
      <c r="C701" s="42">
        <v>2020</v>
      </c>
      <c r="D701" s="27" t="s">
        <v>719</v>
      </c>
      <c r="E701" s="27" t="s">
        <v>41</v>
      </c>
      <c r="F701" s="42" t="str" cm="1">
        <f t="array" ref="F701">_xlfn.IFS(E701="Bandung","BDG",E701="Surabaya","SBY",E701="Jakarta","JKT")</f>
        <v>SBY</v>
      </c>
      <c r="G701" s="27" t="s">
        <v>48</v>
      </c>
      <c r="H701" s="27" t="s">
        <v>89</v>
      </c>
      <c r="I701" s="27" t="s">
        <v>73</v>
      </c>
      <c r="J701" s="26">
        <v>43885</v>
      </c>
      <c r="K701" s="26">
        <v>43885</v>
      </c>
      <c r="L701" s="27">
        <f t="shared" si="62"/>
        <v>2</v>
      </c>
      <c r="M701" s="45">
        <v>14100</v>
      </c>
      <c r="N701" s="45">
        <v>31200</v>
      </c>
      <c r="O701" s="27">
        <v>79</v>
      </c>
      <c r="P701" s="46">
        <f t="shared" si="63"/>
        <v>0.54807692307692313</v>
      </c>
      <c r="Q701" s="27">
        <v>39</v>
      </c>
      <c r="R701" s="44">
        <f t="shared" si="60"/>
        <v>1216800</v>
      </c>
      <c r="S701" s="29">
        <v>0.04</v>
      </c>
      <c r="T701" s="44">
        <f t="shared" si="64"/>
        <v>1168128</v>
      </c>
      <c r="U701" s="44">
        <f t="shared" si="65"/>
        <v>618228</v>
      </c>
      <c r="V701" s="44"/>
    </row>
    <row r="702" spans="1:22" ht="14.5" x14ac:dyDescent="0.35">
      <c r="A702" s="47" t="str">
        <f t="shared" si="61"/>
        <v>SBY-EW-E1033-2019</v>
      </c>
      <c r="B702" s="26">
        <v>43735</v>
      </c>
      <c r="C702" s="42">
        <v>2019</v>
      </c>
      <c r="D702" s="27" t="s">
        <v>693</v>
      </c>
      <c r="E702" s="27" t="s">
        <v>41</v>
      </c>
      <c r="F702" s="42" t="str" cm="1">
        <f t="array" ref="F702">_xlfn.IFS(E702="Bandung","BDG",E702="Surabaya","SBY",E702="Jakarta","JKT")</f>
        <v>SBY</v>
      </c>
      <c r="G702" s="27" t="s">
        <v>60</v>
      </c>
      <c r="H702" s="27" t="s">
        <v>54</v>
      </c>
      <c r="I702" s="27" t="s">
        <v>35</v>
      </c>
      <c r="J702" s="26" t="s">
        <v>1748</v>
      </c>
      <c r="K702" s="26">
        <v>43736</v>
      </c>
      <c r="L702" s="27">
        <f t="shared" si="62"/>
        <v>1</v>
      </c>
      <c r="M702" s="45">
        <v>1490850</v>
      </c>
      <c r="N702" s="45">
        <v>2443950</v>
      </c>
      <c r="O702" s="27">
        <v>104</v>
      </c>
      <c r="P702" s="46">
        <f t="shared" si="63"/>
        <v>0.38998342846621248</v>
      </c>
      <c r="Q702" s="27">
        <v>36</v>
      </c>
      <c r="R702" s="44">
        <f t="shared" si="60"/>
        <v>87982200</v>
      </c>
      <c r="S702" s="29">
        <v>0.05</v>
      </c>
      <c r="T702" s="44">
        <f t="shared" si="64"/>
        <v>83583090</v>
      </c>
      <c r="U702" s="44">
        <f t="shared" si="65"/>
        <v>29912490</v>
      </c>
      <c r="V702" s="44"/>
    </row>
    <row r="703" spans="1:22" ht="14.5" x14ac:dyDescent="0.35">
      <c r="A703" s="47" t="str">
        <f t="shared" si="61"/>
        <v>BDG-ES-E1039-2016</v>
      </c>
      <c r="B703" s="26">
        <v>42623</v>
      </c>
      <c r="C703" s="42">
        <v>2016</v>
      </c>
      <c r="D703" s="27" t="s">
        <v>147</v>
      </c>
      <c r="E703" s="27" t="s">
        <v>136</v>
      </c>
      <c r="F703" s="42" t="str" cm="1">
        <f t="array" ref="F703">_xlfn.IFS(E703="Bandung","BDG",E703="Surabaya","SBY",E703="Jakarta","JKT")</f>
        <v>BDG</v>
      </c>
      <c r="G703" s="27" t="s">
        <v>103</v>
      </c>
      <c r="H703" s="27" t="s">
        <v>148</v>
      </c>
      <c r="I703" s="27" t="s">
        <v>35</v>
      </c>
      <c r="J703" s="26">
        <v>42623</v>
      </c>
      <c r="K703" s="26">
        <v>42652</v>
      </c>
      <c r="L703" s="27">
        <f t="shared" si="62"/>
        <v>29</v>
      </c>
      <c r="M703" s="45">
        <v>33750</v>
      </c>
      <c r="N703" s="45">
        <v>55350</v>
      </c>
      <c r="O703" s="27">
        <v>115</v>
      </c>
      <c r="P703" s="46">
        <f t="shared" si="63"/>
        <v>0.3902439024390244</v>
      </c>
      <c r="Q703" s="27">
        <v>35</v>
      </c>
      <c r="R703" s="44">
        <f t="shared" si="60"/>
        <v>1937250</v>
      </c>
      <c r="S703" s="29">
        <v>0.03</v>
      </c>
      <c r="T703" s="44">
        <f t="shared" si="64"/>
        <v>1879132.5</v>
      </c>
      <c r="U703" s="44">
        <f t="shared" si="65"/>
        <v>697882.5</v>
      </c>
      <c r="V703" s="44"/>
    </row>
    <row r="704" spans="1:22" ht="14.5" x14ac:dyDescent="0.35">
      <c r="A704" s="47" t="str">
        <f t="shared" si="61"/>
        <v>BDG-ES-E1039-2017</v>
      </c>
      <c r="B704" s="26">
        <v>43089</v>
      </c>
      <c r="C704" s="42">
        <v>2017</v>
      </c>
      <c r="D704" s="27" t="s">
        <v>147</v>
      </c>
      <c r="E704" s="27" t="s">
        <v>136</v>
      </c>
      <c r="F704" s="42" t="str" cm="1">
        <f t="array" ref="F704">_xlfn.IFS(E704="Bandung","BDG",E704="Surabaya","SBY",E704="Jakarta","JKT")</f>
        <v>BDG</v>
      </c>
      <c r="G704" s="27" t="s">
        <v>103</v>
      </c>
      <c r="H704" s="27" t="s">
        <v>202</v>
      </c>
      <c r="I704" s="27" t="s">
        <v>39</v>
      </c>
      <c r="J704" s="26">
        <v>43091</v>
      </c>
      <c r="K704" s="26">
        <v>43091</v>
      </c>
      <c r="L704" s="27">
        <f t="shared" si="62"/>
        <v>2</v>
      </c>
      <c r="M704" s="45">
        <v>19650</v>
      </c>
      <c r="N704" s="45">
        <v>42600</v>
      </c>
      <c r="O704" s="27">
        <v>78</v>
      </c>
      <c r="P704" s="46">
        <f t="shared" si="63"/>
        <v>0.53873239436619713</v>
      </c>
      <c r="Q704" s="27">
        <v>39</v>
      </c>
      <c r="R704" s="44">
        <f t="shared" si="60"/>
        <v>1661400</v>
      </c>
      <c r="S704" s="29">
        <v>0.08</v>
      </c>
      <c r="T704" s="44">
        <f t="shared" si="64"/>
        <v>1528488</v>
      </c>
      <c r="U704" s="44">
        <f t="shared" si="65"/>
        <v>762138</v>
      </c>
      <c r="V704" s="44"/>
    </row>
    <row r="705" spans="1:22" ht="14.5" x14ac:dyDescent="0.35">
      <c r="A705" s="47" t="str">
        <f t="shared" si="61"/>
        <v>BDG-ES-E1039-2017</v>
      </c>
      <c r="B705" s="26">
        <v>43089</v>
      </c>
      <c r="C705" s="42">
        <v>2017</v>
      </c>
      <c r="D705" s="27" t="s">
        <v>147</v>
      </c>
      <c r="E705" s="27" t="s">
        <v>136</v>
      </c>
      <c r="F705" s="42" t="str" cm="1">
        <f t="array" ref="F705">_xlfn.IFS(E705="Bandung","BDG",E705="Surabaya","SBY",E705="Jakarta","JKT")</f>
        <v>BDG</v>
      </c>
      <c r="G705" s="27" t="s">
        <v>103</v>
      </c>
      <c r="H705" s="27" t="s">
        <v>138</v>
      </c>
      <c r="I705" s="27" t="s">
        <v>35</v>
      </c>
      <c r="J705" s="26" t="s">
        <v>1646</v>
      </c>
      <c r="K705" s="26">
        <v>43089</v>
      </c>
      <c r="L705" s="27">
        <f t="shared" si="62"/>
        <v>0</v>
      </c>
      <c r="M705" s="45">
        <v>17700</v>
      </c>
      <c r="N705" s="45">
        <v>28200</v>
      </c>
      <c r="O705" s="27">
        <v>130</v>
      </c>
      <c r="P705" s="46">
        <f t="shared" si="63"/>
        <v>0.37234042553191488</v>
      </c>
      <c r="Q705" s="27">
        <v>47</v>
      </c>
      <c r="R705" s="44">
        <f t="shared" si="60"/>
        <v>1325400</v>
      </c>
      <c r="S705" s="29">
        <v>0.06</v>
      </c>
      <c r="T705" s="44">
        <f t="shared" si="64"/>
        <v>1245876</v>
      </c>
      <c r="U705" s="44">
        <f t="shared" si="65"/>
        <v>413976</v>
      </c>
      <c r="V705" s="44"/>
    </row>
    <row r="706" spans="1:22" ht="14.5" x14ac:dyDescent="0.35">
      <c r="A706" s="47" t="str">
        <f t="shared" si="61"/>
        <v>BDG-ES-E1039-2018</v>
      </c>
      <c r="B706" s="26">
        <v>43140</v>
      </c>
      <c r="C706" s="42">
        <v>2018</v>
      </c>
      <c r="D706" s="27" t="s">
        <v>147</v>
      </c>
      <c r="E706" s="27" t="s">
        <v>136</v>
      </c>
      <c r="F706" s="42" t="str" cm="1">
        <f t="array" ref="F706">_xlfn.IFS(E706="Bandung","BDG",E706="Surabaya","SBY",E706="Jakarta","JKT")</f>
        <v>BDG</v>
      </c>
      <c r="G706" s="27" t="s">
        <v>103</v>
      </c>
      <c r="H706" s="27" t="s">
        <v>499</v>
      </c>
      <c r="I706" s="27" t="s">
        <v>35</v>
      </c>
      <c r="J706" s="26">
        <v>43141</v>
      </c>
      <c r="K706" s="26">
        <v>43375</v>
      </c>
      <c r="L706" s="27">
        <f t="shared" si="62"/>
        <v>235</v>
      </c>
      <c r="M706" s="45">
        <v>267600</v>
      </c>
      <c r="N706" s="45">
        <v>524850</v>
      </c>
      <c r="O706" s="27">
        <v>29</v>
      </c>
      <c r="P706" s="46">
        <f t="shared" si="63"/>
        <v>0.49014004001143185</v>
      </c>
      <c r="Q706" s="27">
        <v>29</v>
      </c>
      <c r="R706" s="44">
        <f t="shared" si="60"/>
        <v>15220650</v>
      </c>
      <c r="S706" s="29">
        <v>0.09</v>
      </c>
      <c r="T706" s="44">
        <f t="shared" si="64"/>
        <v>13850791.5</v>
      </c>
      <c r="U706" s="44">
        <f t="shared" si="65"/>
        <v>6090391.5</v>
      </c>
      <c r="V706" s="44"/>
    </row>
    <row r="707" spans="1:22" ht="14.5" x14ac:dyDescent="0.35">
      <c r="A707" s="47" t="str">
        <f t="shared" si="61"/>
        <v>SBY-EH-E1032-2016</v>
      </c>
      <c r="B707" s="26">
        <v>42523</v>
      </c>
      <c r="C707" s="42">
        <v>2016</v>
      </c>
      <c r="D707" s="27" t="s">
        <v>52</v>
      </c>
      <c r="E707" s="27" t="s">
        <v>41</v>
      </c>
      <c r="F707" s="42" t="str" cm="1">
        <f t="array" ref="F707">_xlfn.IFS(E707="Bandung","BDG",E707="Surabaya","SBY",E707="Jakarta","JKT")</f>
        <v>SBY</v>
      </c>
      <c r="G707" s="27" t="s">
        <v>53</v>
      </c>
      <c r="H707" s="27" t="s">
        <v>54</v>
      </c>
      <c r="I707" s="27" t="s">
        <v>35</v>
      </c>
      <c r="J707" s="26">
        <v>42525</v>
      </c>
      <c r="K707" s="26">
        <v>42466</v>
      </c>
      <c r="L707" s="27">
        <f t="shared" si="62"/>
        <v>-57</v>
      </c>
      <c r="M707" s="45">
        <v>1490850</v>
      </c>
      <c r="N707" s="45">
        <v>2443950</v>
      </c>
      <c r="O707" s="27">
        <v>68</v>
      </c>
      <c r="P707" s="46">
        <f t="shared" si="63"/>
        <v>0.38998342846621248</v>
      </c>
      <c r="Q707" s="27">
        <v>32</v>
      </c>
      <c r="R707" s="44">
        <f t="shared" si="60"/>
        <v>78206400</v>
      </c>
      <c r="S707" s="29">
        <v>0.09</v>
      </c>
      <c r="T707" s="44">
        <f t="shared" si="64"/>
        <v>71167824</v>
      </c>
      <c r="U707" s="44">
        <f t="shared" si="65"/>
        <v>23460624</v>
      </c>
      <c r="V707" s="44"/>
    </row>
    <row r="708" spans="1:22" ht="14.5" x14ac:dyDescent="0.35">
      <c r="A708" s="47" t="str">
        <f t="shared" si="61"/>
        <v>SBY-EB-E1039-2019</v>
      </c>
      <c r="B708" s="26">
        <v>43489</v>
      </c>
      <c r="C708" s="42">
        <v>2019</v>
      </c>
      <c r="D708" s="27" t="s">
        <v>633</v>
      </c>
      <c r="E708" s="27" t="s">
        <v>41</v>
      </c>
      <c r="F708" s="42" t="str" cm="1">
        <f t="array" ref="F708">_xlfn.IFS(E708="Bandung","BDG",E708="Surabaya","SBY",E708="Jakarta","JKT")</f>
        <v>SBY</v>
      </c>
      <c r="G708" s="27" t="s">
        <v>103</v>
      </c>
      <c r="H708" s="27" t="s">
        <v>138</v>
      </c>
      <c r="I708" s="27" t="s">
        <v>35</v>
      </c>
      <c r="J708" s="26">
        <v>43491</v>
      </c>
      <c r="K708" s="26">
        <v>43491</v>
      </c>
      <c r="L708" s="27">
        <f t="shared" si="62"/>
        <v>2</v>
      </c>
      <c r="M708" s="45">
        <v>17700</v>
      </c>
      <c r="N708" s="45">
        <v>28200</v>
      </c>
      <c r="O708" s="27">
        <v>83</v>
      </c>
      <c r="P708" s="46">
        <f t="shared" si="63"/>
        <v>0.37234042553191488</v>
      </c>
      <c r="Q708" s="27">
        <v>29</v>
      </c>
      <c r="R708" s="44">
        <f t="shared" ref="R708:R771" si="66">N708*Q708</f>
        <v>817800</v>
      </c>
      <c r="S708" s="29">
        <v>0.1</v>
      </c>
      <c r="T708" s="44">
        <f t="shared" si="64"/>
        <v>736020</v>
      </c>
      <c r="U708" s="44">
        <f t="shared" si="65"/>
        <v>222720</v>
      </c>
      <c r="V708" s="44"/>
    </row>
    <row r="709" spans="1:22" ht="14.5" x14ac:dyDescent="0.35">
      <c r="A709" s="47" t="str">
        <f t="shared" ref="A709:A772" si="67">_xlfn.CONCAT(F709,"-",LEFT(D709,1),MID(D709,FIND(" ",D709)+1,1),"-",G709,"-",C709)</f>
        <v>SBY-EB-E1039-2019</v>
      </c>
      <c r="B709" s="26">
        <v>43509</v>
      </c>
      <c r="C709" s="42">
        <v>2019</v>
      </c>
      <c r="D709" s="27" t="s">
        <v>633</v>
      </c>
      <c r="E709" s="27" t="s">
        <v>41</v>
      </c>
      <c r="F709" s="42" t="str" cm="1">
        <f t="array" ref="F709">_xlfn.IFS(E709="Bandung","BDG",E709="Surabaya","SBY",E709="Jakarta","JKT")</f>
        <v>SBY</v>
      </c>
      <c r="G709" s="27" t="s">
        <v>103</v>
      </c>
      <c r="H709" s="27" t="s">
        <v>38</v>
      </c>
      <c r="I709" s="27" t="s">
        <v>39</v>
      </c>
      <c r="J709" s="26" t="s">
        <v>1719</v>
      </c>
      <c r="K709" s="26">
        <v>43511</v>
      </c>
      <c r="L709" s="27">
        <f t="shared" ref="L709:L772" si="68">K709-B709</f>
        <v>2</v>
      </c>
      <c r="M709" s="45">
        <v>35850</v>
      </c>
      <c r="N709" s="45">
        <v>63900</v>
      </c>
      <c r="O709" s="27">
        <v>76</v>
      </c>
      <c r="P709" s="46">
        <f t="shared" ref="P709:P772" si="69">(N709-M709)/N709</f>
        <v>0.43896713615023475</v>
      </c>
      <c r="Q709" s="27">
        <v>47</v>
      </c>
      <c r="R709" s="44">
        <f t="shared" si="66"/>
        <v>3003300</v>
      </c>
      <c r="S709" s="29">
        <v>7.0000000000000007E-2</v>
      </c>
      <c r="T709" s="44">
        <f t="shared" ref="T709:T772" si="70">R709*(1-S709)</f>
        <v>2793069</v>
      </c>
      <c r="U709" s="44">
        <f t="shared" ref="U709:U772" si="71">T709-(M709*Q709)</f>
        <v>1108119</v>
      </c>
      <c r="V709" s="44"/>
    </row>
    <row r="710" spans="1:22" ht="14.5" x14ac:dyDescent="0.35">
      <c r="A710" s="47" t="str">
        <f t="shared" si="67"/>
        <v>SBY-EB-E1039-2019</v>
      </c>
      <c r="B710" s="26">
        <v>43509</v>
      </c>
      <c r="C710" s="42">
        <v>2019</v>
      </c>
      <c r="D710" s="27" t="s">
        <v>633</v>
      </c>
      <c r="E710" s="27" t="s">
        <v>41</v>
      </c>
      <c r="F710" s="42" t="str" cm="1">
        <f t="array" ref="F710">_xlfn.IFS(E710="Bandung","BDG",E710="Surabaya","SBY",E710="Jakarta","JKT")</f>
        <v>SBY</v>
      </c>
      <c r="G710" s="27" t="s">
        <v>103</v>
      </c>
      <c r="H710" s="27" t="s">
        <v>79</v>
      </c>
      <c r="I710" s="27" t="s">
        <v>39</v>
      </c>
      <c r="J710" s="26" t="s">
        <v>1720</v>
      </c>
      <c r="K710" s="26">
        <v>43514</v>
      </c>
      <c r="L710" s="27">
        <f t="shared" si="68"/>
        <v>5</v>
      </c>
      <c r="M710" s="45">
        <v>19500</v>
      </c>
      <c r="N710" s="45">
        <v>43200</v>
      </c>
      <c r="O710" s="27">
        <v>58</v>
      </c>
      <c r="P710" s="46">
        <f t="shared" si="69"/>
        <v>0.54861111111111116</v>
      </c>
      <c r="Q710" s="27">
        <v>17</v>
      </c>
      <c r="R710" s="44">
        <f t="shared" si="66"/>
        <v>734400</v>
      </c>
      <c r="S710" s="29">
        <v>0.09</v>
      </c>
      <c r="T710" s="44">
        <f t="shared" si="70"/>
        <v>668304</v>
      </c>
      <c r="U710" s="44">
        <f t="shared" si="71"/>
        <v>336804</v>
      </c>
      <c r="V710" s="44"/>
    </row>
    <row r="711" spans="1:22" ht="14.5" x14ac:dyDescent="0.35">
      <c r="A711" s="47" t="str">
        <f t="shared" si="67"/>
        <v>SBY-EU-E1037-2019</v>
      </c>
      <c r="B711" s="26">
        <v>43678</v>
      </c>
      <c r="C711" s="42">
        <v>2019</v>
      </c>
      <c r="D711" s="27" t="s">
        <v>678</v>
      </c>
      <c r="E711" s="27" t="s">
        <v>41</v>
      </c>
      <c r="F711" s="42" t="str" cm="1">
        <f t="array" ref="F711">_xlfn.IFS(E711="Bandung","BDG",E711="Surabaya","SBY",E711="Jakarta","JKT")</f>
        <v>SBY</v>
      </c>
      <c r="G711" s="27" t="s">
        <v>83</v>
      </c>
      <c r="H711" s="27" t="s">
        <v>247</v>
      </c>
      <c r="I711" s="27" t="s">
        <v>236</v>
      </c>
      <c r="J711" s="26">
        <v>43679</v>
      </c>
      <c r="K711" s="26">
        <v>43504</v>
      </c>
      <c r="L711" s="27">
        <f t="shared" si="68"/>
        <v>-174</v>
      </c>
      <c r="M711" s="45">
        <v>842400</v>
      </c>
      <c r="N711" s="45">
        <v>2054699.9999999998</v>
      </c>
      <c r="O711" s="27">
        <v>33</v>
      </c>
      <c r="P711" s="46">
        <f t="shared" si="69"/>
        <v>0.59001314060446775</v>
      </c>
      <c r="Q711" s="27">
        <v>14</v>
      </c>
      <c r="R711" s="44">
        <f t="shared" si="66"/>
        <v>28765799.999999996</v>
      </c>
      <c r="S711" s="29">
        <v>0</v>
      </c>
      <c r="T711" s="44">
        <f t="shared" si="70"/>
        <v>28765799.999999996</v>
      </c>
      <c r="U711" s="44">
        <f t="shared" si="71"/>
        <v>16972199.999999996</v>
      </c>
      <c r="V711" s="44"/>
    </row>
    <row r="712" spans="1:22" ht="14.5" x14ac:dyDescent="0.35">
      <c r="A712" s="47" t="str">
        <f t="shared" si="67"/>
        <v>SBY-EU-E1037-2019</v>
      </c>
      <c r="B712" s="26">
        <v>43678</v>
      </c>
      <c r="C712" s="42">
        <v>2019</v>
      </c>
      <c r="D712" s="27" t="s">
        <v>678</v>
      </c>
      <c r="E712" s="27" t="s">
        <v>41</v>
      </c>
      <c r="F712" s="42" t="str" cm="1">
        <f t="array" ref="F712">_xlfn.IFS(E712="Bandung","BDG",E712="Surabaya","SBY",E712="Jakarta","JKT")</f>
        <v>SBY</v>
      </c>
      <c r="G712" s="27" t="s">
        <v>83</v>
      </c>
      <c r="H712" s="27" t="s">
        <v>241</v>
      </c>
      <c r="I712" s="27" t="s">
        <v>39</v>
      </c>
      <c r="J712" s="26">
        <v>43680</v>
      </c>
      <c r="K712" s="26">
        <v>43532</v>
      </c>
      <c r="L712" s="27">
        <f t="shared" si="68"/>
        <v>-146</v>
      </c>
      <c r="M712" s="45">
        <v>13950</v>
      </c>
      <c r="N712" s="45">
        <v>22200</v>
      </c>
      <c r="O712" s="27">
        <v>18</v>
      </c>
      <c r="P712" s="46">
        <f t="shared" si="69"/>
        <v>0.3716216216216216</v>
      </c>
      <c r="Q712" s="27">
        <v>3</v>
      </c>
      <c r="R712" s="44">
        <f t="shared" si="66"/>
        <v>66600</v>
      </c>
      <c r="S712" s="29">
        <v>0.1</v>
      </c>
      <c r="T712" s="44">
        <f t="shared" si="70"/>
        <v>59940</v>
      </c>
      <c r="U712" s="44">
        <f t="shared" si="71"/>
        <v>18090</v>
      </c>
      <c r="V712" s="44"/>
    </row>
    <row r="713" spans="1:22" ht="14.5" x14ac:dyDescent="0.35">
      <c r="A713" s="47" t="str">
        <f t="shared" si="67"/>
        <v>SBY-EM-E1033-2016</v>
      </c>
      <c r="B713" s="26">
        <v>42710</v>
      </c>
      <c r="C713" s="42">
        <v>2016</v>
      </c>
      <c r="D713" s="27" t="s">
        <v>250</v>
      </c>
      <c r="E713" s="27" t="s">
        <v>41</v>
      </c>
      <c r="F713" s="42" t="str" cm="1">
        <f t="array" ref="F713">_xlfn.IFS(E713="Bandung","BDG",E713="Surabaya","SBY",E713="Jakarta","JKT")</f>
        <v>SBY</v>
      </c>
      <c r="G713" s="27" t="s">
        <v>60</v>
      </c>
      <c r="H713" s="27" t="s">
        <v>251</v>
      </c>
      <c r="I713" s="27" t="s">
        <v>73</v>
      </c>
      <c r="J713" s="26">
        <v>42713</v>
      </c>
      <c r="K713" s="26">
        <v>42625</v>
      </c>
      <c r="L713" s="27">
        <f t="shared" si="68"/>
        <v>-85</v>
      </c>
      <c r="M713" s="45">
        <v>77850</v>
      </c>
      <c r="N713" s="45">
        <v>194700</v>
      </c>
      <c r="O713" s="27">
        <v>121</v>
      </c>
      <c r="P713" s="46">
        <f t="shared" si="69"/>
        <v>0.60015408320493069</v>
      </c>
      <c r="Q713" s="27">
        <v>45</v>
      </c>
      <c r="R713" s="44">
        <f t="shared" si="66"/>
        <v>8761500</v>
      </c>
      <c r="S713" s="29">
        <v>0.02</v>
      </c>
      <c r="T713" s="44">
        <f t="shared" si="70"/>
        <v>8586270</v>
      </c>
      <c r="U713" s="44">
        <f t="shared" si="71"/>
        <v>5083020</v>
      </c>
      <c r="V713" s="44"/>
    </row>
    <row r="714" spans="1:22" ht="14.5" x14ac:dyDescent="0.35">
      <c r="A714" s="47" t="str">
        <f t="shared" si="67"/>
        <v>SBY-EM-E1034-2018</v>
      </c>
      <c r="B714" s="26">
        <v>43366</v>
      </c>
      <c r="C714" s="42">
        <v>2018</v>
      </c>
      <c r="D714" s="27" t="s">
        <v>593</v>
      </c>
      <c r="E714" s="27" t="s">
        <v>41</v>
      </c>
      <c r="F714" s="42" t="str" cm="1">
        <f t="array" ref="F714">_xlfn.IFS(E714="Bandung","BDG",E714="Surabaya","SBY",E714="Jakarta","JKT")</f>
        <v>SBY</v>
      </c>
      <c r="G714" s="27" t="s">
        <v>65</v>
      </c>
      <c r="H714" s="27" t="s">
        <v>314</v>
      </c>
      <c r="I714" s="27" t="s">
        <v>73</v>
      </c>
      <c r="J714" s="26">
        <v>43366</v>
      </c>
      <c r="K714" s="26">
        <v>43366</v>
      </c>
      <c r="L714" s="27">
        <f t="shared" si="68"/>
        <v>0</v>
      </c>
      <c r="M714" s="45">
        <v>52650</v>
      </c>
      <c r="N714" s="45">
        <v>128550</v>
      </c>
      <c r="O714" s="27">
        <v>22</v>
      </c>
      <c r="P714" s="46">
        <f t="shared" si="69"/>
        <v>0.59043173862310383</v>
      </c>
      <c r="Q714" s="27">
        <v>22</v>
      </c>
      <c r="R714" s="44">
        <f t="shared" si="66"/>
        <v>2828100</v>
      </c>
      <c r="S714" s="29">
        <v>0.1</v>
      </c>
      <c r="T714" s="44">
        <f t="shared" si="70"/>
        <v>2545290</v>
      </c>
      <c r="U714" s="44">
        <f t="shared" si="71"/>
        <v>1386990</v>
      </c>
      <c r="V714" s="44"/>
    </row>
    <row r="715" spans="1:22" ht="14.5" x14ac:dyDescent="0.35">
      <c r="A715" s="47" t="str">
        <f t="shared" si="67"/>
        <v>SBY-EW-E1032-2016</v>
      </c>
      <c r="B715" s="26">
        <v>42525</v>
      </c>
      <c r="C715" s="42">
        <v>2016</v>
      </c>
      <c r="D715" s="27" t="s">
        <v>55</v>
      </c>
      <c r="E715" s="27" t="s">
        <v>41</v>
      </c>
      <c r="F715" s="42" t="str" cm="1">
        <f t="array" ref="F715">_xlfn.IFS(E715="Bandung","BDG",E715="Surabaya","SBY",E715="Jakarta","JKT")</f>
        <v>SBY</v>
      </c>
      <c r="G715" s="27" t="s">
        <v>53</v>
      </c>
      <c r="H715" s="27" t="s">
        <v>56</v>
      </c>
      <c r="I715" s="27" t="s">
        <v>39</v>
      </c>
      <c r="J715" s="26">
        <v>42527</v>
      </c>
      <c r="K715" s="26">
        <v>42527</v>
      </c>
      <c r="L715" s="27">
        <f t="shared" si="68"/>
        <v>2</v>
      </c>
      <c r="M715" s="45">
        <v>16350.000000000002</v>
      </c>
      <c r="N715" s="45">
        <v>25200</v>
      </c>
      <c r="O715" s="27">
        <v>71</v>
      </c>
      <c r="P715" s="46">
        <f t="shared" si="69"/>
        <v>0.35119047619047611</v>
      </c>
      <c r="Q715" s="27">
        <v>33</v>
      </c>
      <c r="R715" s="44">
        <f t="shared" si="66"/>
        <v>831600</v>
      </c>
      <c r="S715" s="29">
        <v>0.04</v>
      </c>
      <c r="T715" s="44">
        <f t="shared" si="70"/>
        <v>798336</v>
      </c>
      <c r="U715" s="44">
        <f t="shared" si="71"/>
        <v>258785.99999999988</v>
      </c>
      <c r="V715" s="44"/>
    </row>
    <row r="716" spans="1:22" ht="14.5" x14ac:dyDescent="0.35">
      <c r="A716" s="47" t="str">
        <f t="shared" si="67"/>
        <v>SBY-EM-E1030-2018</v>
      </c>
      <c r="B716" s="26">
        <v>43454</v>
      </c>
      <c r="C716" s="42">
        <v>2018</v>
      </c>
      <c r="D716" s="27" t="s">
        <v>625</v>
      </c>
      <c r="E716" s="27" t="s">
        <v>41</v>
      </c>
      <c r="F716" s="42" t="str" cm="1">
        <f t="array" ref="F716">_xlfn.IFS(E716="Bandung","BDG",E716="Surabaya","SBY",E716="Jakarta","JKT")</f>
        <v>SBY</v>
      </c>
      <c r="G716" s="27" t="s">
        <v>42</v>
      </c>
      <c r="H716" s="27" t="s">
        <v>107</v>
      </c>
      <c r="I716" s="27" t="s">
        <v>73</v>
      </c>
      <c r="J716" s="26">
        <v>43456</v>
      </c>
      <c r="K716" s="26">
        <v>43456</v>
      </c>
      <c r="L716" s="27">
        <f t="shared" si="68"/>
        <v>2</v>
      </c>
      <c r="M716" s="45">
        <v>71850</v>
      </c>
      <c r="N716" s="45">
        <v>179550</v>
      </c>
      <c r="O716" s="27">
        <v>142</v>
      </c>
      <c r="P716" s="46">
        <f t="shared" si="69"/>
        <v>0.59983291562238927</v>
      </c>
      <c r="Q716" s="27">
        <v>48</v>
      </c>
      <c r="R716" s="44">
        <f t="shared" si="66"/>
        <v>8618400</v>
      </c>
      <c r="S716" s="29">
        <v>0.02</v>
      </c>
      <c r="T716" s="44">
        <f t="shared" si="70"/>
        <v>8446032</v>
      </c>
      <c r="U716" s="44">
        <f t="shared" si="71"/>
        <v>4997232</v>
      </c>
      <c r="V716" s="44"/>
    </row>
    <row r="717" spans="1:22" ht="14.5" x14ac:dyDescent="0.35">
      <c r="A717" s="47" t="str">
        <f t="shared" si="67"/>
        <v>SBY-EM-E1030-2018</v>
      </c>
      <c r="B717" s="26">
        <v>43464</v>
      </c>
      <c r="C717" s="42">
        <v>2018</v>
      </c>
      <c r="D717" s="27" t="s">
        <v>625</v>
      </c>
      <c r="E717" s="27" t="s">
        <v>41</v>
      </c>
      <c r="F717" s="42" t="str" cm="1">
        <f t="array" ref="F717">_xlfn.IFS(E717="Bandung","BDG",E717="Surabaya","SBY",E717="Jakarta","JKT")</f>
        <v>SBY</v>
      </c>
      <c r="G717" s="27" t="s">
        <v>42</v>
      </c>
      <c r="H717" s="27" t="s">
        <v>81</v>
      </c>
      <c r="I717" s="27" t="s">
        <v>39</v>
      </c>
      <c r="J717" s="26">
        <v>43464</v>
      </c>
      <c r="K717" s="26">
        <v>43464</v>
      </c>
      <c r="L717" s="27">
        <f t="shared" si="68"/>
        <v>0</v>
      </c>
      <c r="M717" s="45">
        <v>27300</v>
      </c>
      <c r="N717" s="45">
        <v>44700</v>
      </c>
      <c r="O717" s="27">
        <v>3</v>
      </c>
      <c r="P717" s="46">
        <f t="shared" si="69"/>
        <v>0.38926174496644295</v>
      </c>
      <c r="Q717" s="27">
        <v>3</v>
      </c>
      <c r="R717" s="44">
        <f t="shared" si="66"/>
        <v>134100</v>
      </c>
      <c r="S717" s="29">
        <v>0.04</v>
      </c>
      <c r="T717" s="44">
        <f t="shared" si="70"/>
        <v>128736</v>
      </c>
      <c r="U717" s="44">
        <f t="shared" si="71"/>
        <v>46836</v>
      </c>
      <c r="V717" s="44"/>
    </row>
    <row r="718" spans="1:22" ht="14.5" x14ac:dyDescent="0.35">
      <c r="A718" s="47" t="str">
        <f t="shared" si="67"/>
        <v>SBY-EM-E1030-2020</v>
      </c>
      <c r="B718" s="26">
        <v>43856</v>
      </c>
      <c r="C718" s="42">
        <v>2020</v>
      </c>
      <c r="D718" s="27" t="s">
        <v>625</v>
      </c>
      <c r="E718" s="27" t="s">
        <v>41</v>
      </c>
      <c r="F718" s="42" t="str" cm="1">
        <f t="array" ref="F718">_xlfn.IFS(E718="Bandung","BDG",E718="Surabaya","SBY",E718="Jakarta","JKT")</f>
        <v>SBY</v>
      </c>
      <c r="G718" s="27" t="s">
        <v>42</v>
      </c>
      <c r="H718" s="27" t="s">
        <v>193</v>
      </c>
      <c r="I718" s="27" t="s">
        <v>35</v>
      </c>
      <c r="J718" s="26">
        <v>43861</v>
      </c>
      <c r="K718" s="26">
        <v>43861</v>
      </c>
      <c r="L718" s="27">
        <f t="shared" si="68"/>
        <v>5</v>
      </c>
      <c r="M718" s="45">
        <v>252750.00000000003</v>
      </c>
      <c r="N718" s="45">
        <v>407700</v>
      </c>
      <c r="O718" s="27">
        <v>88</v>
      </c>
      <c r="P718" s="46">
        <f t="shared" si="69"/>
        <v>0.38005886681383361</v>
      </c>
      <c r="Q718" s="27">
        <v>38</v>
      </c>
      <c r="R718" s="44">
        <f t="shared" si="66"/>
        <v>15492600</v>
      </c>
      <c r="S718" s="29">
        <v>0.01</v>
      </c>
      <c r="T718" s="44">
        <f t="shared" si="70"/>
        <v>15337674</v>
      </c>
      <c r="U718" s="44">
        <f t="shared" si="71"/>
        <v>5733173.9999999981</v>
      </c>
      <c r="V718" s="44"/>
    </row>
    <row r="719" spans="1:22" ht="14.5" x14ac:dyDescent="0.35">
      <c r="A719" s="47" t="str">
        <f t="shared" si="67"/>
        <v>SBY-EK-E1033-2017</v>
      </c>
      <c r="B719" s="26">
        <v>43046</v>
      </c>
      <c r="C719" s="42">
        <v>2017</v>
      </c>
      <c r="D719" s="27" t="s">
        <v>460</v>
      </c>
      <c r="E719" s="27" t="s">
        <v>41</v>
      </c>
      <c r="F719" s="42" t="str" cm="1">
        <f t="array" ref="F719">_xlfn.IFS(E719="Bandung","BDG",E719="Surabaya","SBY",E719="Jakarta","JKT")</f>
        <v>SBY</v>
      </c>
      <c r="G719" s="27" t="s">
        <v>60</v>
      </c>
      <c r="H719" s="27" t="s">
        <v>363</v>
      </c>
      <c r="I719" s="27" t="s">
        <v>236</v>
      </c>
      <c r="J719" s="26" t="s">
        <v>1639</v>
      </c>
      <c r="K719" s="26">
        <v>43055</v>
      </c>
      <c r="L719" s="27">
        <f t="shared" si="68"/>
        <v>9</v>
      </c>
      <c r="M719" s="45">
        <v>5669850</v>
      </c>
      <c r="N719" s="45">
        <v>8999850</v>
      </c>
      <c r="O719" s="27">
        <v>41</v>
      </c>
      <c r="P719" s="46">
        <f t="shared" si="69"/>
        <v>0.37000616676944614</v>
      </c>
      <c r="Q719" s="27">
        <v>25</v>
      </c>
      <c r="R719" s="44">
        <f t="shared" si="66"/>
        <v>224996250</v>
      </c>
      <c r="S719" s="29">
        <v>7.0000000000000007E-2</v>
      </c>
      <c r="T719" s="44">
        <f t="shared" si="70"/>
        <v>209246512.5</v>
      </c>
      <c r="U719" s="44">
        <f t="shared" si="71"/>
        <v>67500262.5</v>
      </c>
      <c r="V719" s="44"/>
    </row>
    <row r="720" spans="1:22" ht="14.5" x14ac:dyDescent="0.35">
      <c r="A720" s="47" t="str">
        <f t="shared" si="67"/>
        <v>SBY-EK-E1033-2017</v>
      </c>
      <c r="B720" s="26">
        <v>43046</v>
      </c>
      <c r="C720" s="42">
        <v>2017</v>
      </c>
      <c r="D720" s="27" t="s">
        <v>460</v>
      </c>
      <c r="E720" s="27" t="s">
        <v>41</v>
      </c>
      <c r="F720" s="42" t="str" cm="1">
        <f t="array" ref="F720">_xlfn.IFS(E720="Bandung","BDG",E720="Surabaya","SBY",E720="Jakarta","JKT")</f>
        <v>SBY</v>
      </c>
      <c r="G720" s="27" t="s">
        <v>60</v>
      </c>
      <c r="H720" s="27" t="s">
        <v>178</v>
      </c>
      <c r="I720" s="27" t="s">
        <v>39</v>
      </c>
      <c r="J720" s="26" t="s">
        <v>1640</v>
      </c>
      <c r="K720" s="26">
        <v>43053</v>
      </c>
      <c r="L720" s="27">
        <f t="shared" si="68"/>
        <v>7</v>
      </c>
      <c r="M720" s="45">
        <v>24000</v>
      </c>
      <c r="N720" s="45">
        <v>39300</v>
      </c>
      <c r="O720" s="27">
        <v>105</v>
      </c>
      <c r="P720" s="46">
        <f t="shared" si="69"/>
        <v>0.38931297709923662</v>
      </c>
      <c r="Q720" s="27">
        <v>10</v>
      </c>
      <c r="R720" s="44">
        <f t="shared" si="66"/>
        <v>393000</v>
      </c>
      <c r="S720" s="29">
        <v>0.08</v>
      </c>
      <c r="T720" s="44">
        <f t="shared" si="70"/>
        <v>361560</v>
      </c>
      <c r="U720" s="44">
        <f t="shared" si="71"/>
        <v>121560</v>
      </c>
      <c r="V720" s="44"/>
    </row>
    <row r="721" spans="1:22" ht="14.5" x14ac:dyDescent="0.35">
      <c r="A721" s="47" t="str">
        <f t="shared" si="67"/>
        <v>SBY-EW-E1036-2017</v>
      </c>
      <c r="B721" s="26">
        <v>42988</v>
      </c>
      <c r="C721" s="42">
        <v>2017</v>
      </c>
      <c r="D721" s="27" t="s">
        <v>422</v>
      </c>
      <c r="E721" s="27" t="s">
        <v>41</v>
      </c>
      <c r="F721" s="42" t="str" cm="1">
        <f t="array" ref="F721">_xlfn.IFS(E721="Bandung","BDG",E721="Surabaya","SBY",E721="Jakarta","JKT")</f>
        <v>SBY</v>
      </c>
      <c r="G721" s="27" t="s">
        <v>78</v>
      </c>
      <c r="H721" s="27" t="s">
        <v>101</v>
      </c>
      <c r="I721" s="27" t="s">
        <v>35</v>
      </c>
      <c r="J721" s="26">
        <v>42992</v>
      </c>
      <c r="K721" s="26">
        <v>42992</v>
      </c>
      <c r="L721" s="27">
        <f t="shared" si="68"/>
        <v>4</v>
      </c>
      <c r="M721" s="45">
        <v>480300.00000000006</v>
      </c>
      <c r="N721" s="45">
        <v>2287200</v>
      </c>
      <c r="O721" s="27">
        <v>185</v>
      </c>
      <c r="P721" s="46">
        <f t="shared" si="69"/>
        <v>0.79000524658971671</v>
      </c>
      <c r="Q721" s="27">
        <v>49</v>
      </c>
      <c r="R721" s="44">
        <f t="shared" si="66"/>
        <v>112072800</v>
      </c>
      <c r="S721" s="29">
        <v>0.03</v>
      </c>
      <c r="T721" s="44">
        <f t="shared" si="70"/>
        <v>108710616</v>
      </c>
      <c r="U721" s="44">
        <f t="shared" si="71"/>
        <v>85175916</v>
      </c>
      <c r="V721" s="44"/>
    </row>
    <row r="722" spans="1:22" ht="14.5" x14ac:dyDescent="0.35">
      <c r="A722" s="47" t="str">
        <f t="shared" si="67"/>
        <v>SBY-EW-E1036-2019</v>
      </c>
      <c r="B722" s="26">
        <v>43566</v>
      </c>
      <c r="C722" s="42">
        <v>2019</v>
      </c>
      <c r="D722" s="27" t="s">
        <v>422</v>
      </c>
      <c r="E722" s="27" t="s">
        <v>41</v>
      </c>
      <c r="F722" s="42" t="str" cm="1">
        <f t="array" ref="F722">_xlfn.IFS(E722="Bandung","BDG",E722="Surabaya","SBY",E722="Jakarta","JKT")</f>
        <v>SBY</v>
      </c>
      <c r="G722" s="27" t="s">
        <v>78</v>
      </c>
      <c r="H722" s="27" t="s">
        <v>138</v>
      </c>
      <c r="I722" s="27" t="s">
        <v>35</v>
      </c>
      <c r="J722" s="26">
        <v>43568</v>
      </c>
      <c r="K722" s="26">
        <v>43568</v>
      </c>
      <c r="L722" s="27">
        <f t="shared" si="68"/>
        <v>2</v>
      </c>
      <c r="M722" s="45">
        <v>17700</v>
      </c>
      <c r="N722" s="45">
        <v>28200</v>
      </c>
      <c r="O722" s="27">
        <v>54</v>
      </c>
      <c r="P722" s="46">
        <f t="shared" si="69"/>
        <v>0.37234042553191488</v>
      </c>
      <c r="Q722" s="27">
        <v>1</v>
      </c>
      <c r="R722" s="44">
        <f t="shared" si="66"/>
        <v>28200</v>
      </c>
      <c r="S722" s="29">
        <v>0.09</v>
      </c>
      <c r="T722" s="44">
        <f t="shared" si="70"/>
        <v>25662</v>
      </c>
      <c r="U722" s="44">
        <f t="shared" si="71"/>
        <v>7962</v>
      </c>
      <c r="V722" s="44"/>
    </row>
    <row r="723" spans="1:22" ht="14.5" x14ac:dyDescent="0.35">
      <c r="A723" s="47" t="str">
        <f t="shared" si="67"/>
        <v>JKT-EY-E1028-2018</v>
      </c>
      <c r="B723" s="26">
        <v>43355</v>
      </c>
      <c r="C723" s="42">
        <v>2018</v>
      </c>
      <c r="D723" s="27" t="s">
        <v>589</v>
      </c>
      <c r="E723" s="27" t="s">
        <v>32</v>
      </c>
      <c r="F723" s="42" t="str" cm="1">
        <f t="array" ref="F723">_xlfn.IFS(E723="Bandung","BDG",E723="Surabaya","SBY",E723="Jakarta","JKT")</f>
        <v>JKT</v>
      </c>
      <c r="G723" s="27" t="s">
        <v>33</v>
      </c>
      <c r="H723" s="27" t="s">
        <v>119</v>
      </c>
      <c r="I723" s="27" t="s">
        <v>120</v>
      </c>
      <c r="J723" s="26" t="s">
        <v>1691</v>
      </c>
      <c r="K723" s="26">
        <v>43357</v>
      </c>
      <c r="L723" s="27">
        <f t="shared" si="68"/>
        <v>2</v>
      </c>
      <c r="M723" s="45">
        <v>132300</v>
      </c>
      <c r="N723" s="45">
        <v>314850</v>
      </c>
      <c r="O723" s="27">
        <v>113</v>
      </c>
      <c r="P723" s="46">
        <f t="shared" si="69"/>
        <v>0.57979990471653164</v>
      </c>
      <c r="Q723" s="27">
        <v>18</v>
      </c>
      <c r="R723" s="44">
        <f t="shared" si="66"/>
        <v>5667300</v>
      </c>
      <c r="S723" s="29">
        <v>0</v>
      </c>
      <c r="T723" s="44">
        <f t="shared" si="70"/>
        <v>5667300</v>
      </c>
      <c r="U723" s="44">
        <f t="shared" si="71"/>
        <v>3285900</v>
      </c>
      <c r="V723" s="44"/>
    </row>
    <row r="724" spans="1:22" ht="14.5" x14ac:dyDescent="0.35">
      <c r="A724" s="47" t="str">
        <f t="shared" si="67"/>
        <v>SBY-EU-E1039-2017</v>
      </c>
      <c r="B724" s="26">
        <v>42773</v>
      </c>
      <c r="C724" s="42">
        <v>2017</v>
      </c>
      <c r="D724" s="27" t="s">
        <v>296</v>
      </c>
      <c r="E724" s="27" t="s">
        <v>41</v>
      </c>
      <c r="F724" s="42" t="str" cm="1">
        <f t="array" ref="F724">_xlfn.IFS(E724="Bandung","BDG",E724="Surabaya","SBY",E724="Jakarta","JKT")</f>
        <v>SBY</v>
      </c>
      <c r="G724" s="27" t="s">
        <v>103</v>
      </c>
      <c r="H724" s="27" t="s">
        <v>180</v>
      </c>
      <c r="I724" s="27" t="s">
        <v>35</v>
      </c>
      <c r="J724" s="26">
        <v>42980</v>
      </c>
      <c r="K724" s="26">
        <v>42775</v>
      </c>
      <c r="L724" s="27">
        <f t="shared" si="68"/>
        <v>2</v>
      </c>
      <c r="M724" s="45">
        <v>51000</v>
      </c>
      <c r="N724" s="45">
        <v>81000</v>
      </c>
      <c r="O724" s="27">
        <v>124</v>
      </c>
      <c r="P724" s="46">
        <f t="shared" si="69"/>
        <v>0.37037037037037035</v>
      </c>
      <c r="Q724" s="27">
        <v>47</v>
      </c>
      <c r="R724" s="44">
        <f t="shared" si="66"/>
        <v>3807000</v>
      </c>
      <c r="S724" s="29">
        <v>0.03</v>
      </c>
      <c r="T724" s="44">
        <f t="shared" si="70"/>
        <v>3692790</v>
      </c>
      <c r="U724" s="44">
        <f t="shared" si="71"/>
        <v>1295790</v>
      </c>
      <c r="V724" s="44"/>
    </row>
    <row r="725" spans="1:22" ht="14.5" x14ac:dyDescent="0.35">
      <c r="A725" s="47" t="str">
        <f t="shared" si="67"/>
        <v>SBY-EU-E1039-2018</v>
      </c>
      <c r="B725" s="26">
        <v>43252</v>
      </c>
      <c r="C725" s="42">
        <v>2018</v>
      </c>
      <c r="D725" s="27" t="s">
        <v>296</v>
      </c>
      <c r="E725" s="27" t="s">
        <v>41</v>
      </c>
      <c r="F725" s="42" t="str" cm="1">
        <f t="array" ref="F725">_xlfn.IFS(E725="Bandung","BDG",E725="Surabaya","SBY",E725="Jakarta","JKT")</f>
        <v>SBY</v>
      </c>
      <c r="G725" s="27" t="s">
        <v>103</v>
      </c>
      <c r="H725" s="27" t="s">
        <v>107</v>
      </c>
      <c r="I725" s="27" t="s">
        <v>73</v>
      </c>
      <c r="J725" s="26">
        <v>43165</v>
      </c>
      <c r="K725" s="26">
        <v>43254</v>
      </c>
      <c r="L725" s="27">
        <f t="shared" si="68"/>
        <v>2</v>
      </c>
      <c r="M725" s="45">
        <v>71850</v>
      </c>
      <c r="N725" s="45">
        <v>179550</v>
      </c>
      <c r="O725" s="27">
        <v>94</v>
      </c>
      <c r="P725" s="46">
        <f t="shared" si="69"/>
        <v>0.59983291562238927</v>
      </c>
      <c r="Q725" s="27">
        <v>30</v>
      </c>
      <c r="R725" s="44">
        <f t="shared" si="66"/>
        <v>5386500</v>
      </c>
      <c r="S725" s="29">
        <v>0.08</v>
      </c>
      <c r="T725" s="44">
        <f t="shared" si="70"/>
        <v>4955580</v>
      </c>
      <c r="U725" s="44">
        <f t="shared" si="71"/>
        <v>2800080</v>
      </c>
      <c r="V725" s="44"/>
    </row>
    <row r="726" spans="1:22" ht="14.5" x14ac:dyDescent="0.35">
      <c r="A726" s="47" t="str">
        <f t="shared" si="67"/>
        <v>SBY-ES-E1034-2017</v>
      </c>
      <c r="B726" s="26">
        <v>43019</v>
      </c>
      <c r="C726" s="42">
        <v>2017</v>
      </c>
      <c r="D726" s="27" t="s">
        <v>442</v>
      </c>
      <c r="E726" s="27" t="s">
        <v>41</v>
      </c>
      <c r="F726" s="42" t="str" cm="1">
        <f t="array" ref="F726">_xlfn.IFS(E726="Bandung","BDG",E726="Surabaya","SBY",E726="Jakarta","JKT")</f>
        <v>SBY</v>
      </c>
      <c r="G726" s="27" t="s">
        <v>65</v>
      </c>
      <c r="H726" s="27" t="s">
        <v>293</v>
      </c>
      <c r="I726" s="27" t="s">
        <v>35</v>
      </c>
      <c r="J726" s="26">
        <v>43079</v>
      </c>
      <c r="K726" s="26">
        <v>43020</v>
      </c>
      <c r="L726" s="27">
        <f t="shared" si="68"/>
        <v>1</v>
      </c>
      <c r="M726" s="45">
        <v>67950</v>
      </c>
      <c r="N726" s="45">
        <v>109500</v>
      </c>
      <c r="O726" s="27">
        <v>134</v>
      </c>
      <c r="P726" s="46">
        <f t="shared" si="69"/>
        <v>0.37945205479452054</v>
      </c>
      <c r="Q726" s="27">
        <v>50</v>
      </c>
      <c r="R726" s="44">
        <f t="shared" si="66"/>
        <v>5475000</v>
      </c>
      <c r="S726" s="29">
        <v>0.02</v>
      </c>
      <c r="T726" s="44">
        <f t="shared" si="70"/>
        <v>5365500</v>
      </c>
      <c r="U726" s="44">
        <f t="shared" si="71"/>
        <v>1968000</v>
      </c>
      <c r="V726" s="44"/>
    </row>
    <row r="727" spans="1:22" ht="14.5" x14ac:dyDescent="0.35">
      <c r="A727" s="47" t="str">
        <f t="shared" si="67"/>
        <v>SBY-ES-E1034-2017</v>
      </c>
      <c r="B727" s="26">
        <v>43019</v>
      </c>
      <c r="C727" s="42">
        <v>2017</v>
      </c>
      <c r="D727" s="27" t="s">
        <v>442</v>
      </c>
      <c r="E727" s="27" t="s">
        <v>41</v>
      </c>
      <c r="F727" s="42" t="str" cm="1">
        <f t="array" ref="F727">_xlfn.IFS(E727="Bandung","BDG",E727="Surabaya","SBY",E727="Jakarta","JKT")</f>
        <v>SBY</v>
      </c>
      <c r="G727" s="27" t="s">
        <v>65</v>
      </c>
      <c r="H727" s="27" t="s">
        <v>443</v>
      </c>
      <c r="I727" s="27" t="s">
        <v>39</v>
      </c>
      <c r="J727" s="26">
        <v>43020</v>
      </c>
      <c r="K727" s="26">
        <v>43079</v>
      </c>
      <c r="L727" s="27">
        <f t="shared" si="68"/>
        <v>60</v>
      </c>
      <c r="M727" s="45">
        <v>22950</v>
      </c>
      <c r="N727" s="45">
        <v>37050</v>
      </c>
      <c r="O727" s="27">
        <v>88</v>
      </c>
      <c r="P727" s="46">
        <f t="shared" si="69"/>
        <v>0.38056680161943318</v>
      </c>
      <c r="Q727" s="27">
        <v>43</v>
      </c>
      <c r="R727" s="44">
        <f t="shared" si="66"/>
        <v>1593150</v>
      </c>
      <c r="S727" s="29">
        <v>0.02</v>
      </c>
      <c r="T727" s="44">
        <f t="shared" si="70"/>
        <v>1561287</v>
      </c>
      <c r="U727" s="44">
        <f t="shared" si="71"/>
        <v>574437</v>
      </c>
      <c r="V727" s="44"/>
    </row>
    <row r="728" spans="1:22" ht="14.5" x14ac:dyDescent="0.35">
      <c r="A728" s="47" t="str">
        <f t="shared" si="67"/>
        <v>JKT-ES-E1029-2017</v>
      </c>
      <c r="B728" s="26">
        <v>43012</v>
      </c>
      <c r="C728" s="42">
        <v>2017</v>
      </c>
      <c r="D728" s="27" t="s">
        <v>438</v>
      </c>
      <c r="E728" s="27" t="s">
        <v>32</v>
      </c>
      <c r="F728" s="42" t="str" cm="1">
        <f t="array" ref="F728">_xlfn.IFS(E728="Bandung","BDG",E728="Surabaya","SBY",E728="Jakarta","JKT")</f>
        <v>JKT</v>
      </c>
      <c r="G728" s="27" t="s">
        <v>37</v>
      </c>
      <c r="H728" s="27" t="s">
        <v>336</v>
      </c>
      <c r="I728" s="27" t="s">
        <v>35</v>
      </c>
      <c r="J728" s="26">
        <v>43014</v>
      </c>
      <c r="K728" s="26">
        <v>42896</v>
      </c>
      <c r="L728" s="27">
        <f t="shared" si="68"/>
        <v>-116</v>
      </c>
      <c r="M728" s="45">
        <v>47100</v>
      </c>
      <c r="N728" s="45">
        <v>73650</v>
      </c>
      <c r="O728" s="27">
        <v>36</v>
      </c>
      <c r="P728" s="46">
        <f t="shared" si="69"/>
        <v>0.3604887983706721</v>
      </c>
      <c r="Q728" s="27">
        <v>24</v>
      </c>
      <c r="R728" s="44">
        <f t="shared" si="66"/>
        <v>1767600</v>
      </c>
      <c r="S728" s="29">
        <v>0.01</v>
      </c>
      <c r="T728" s="44">
        <f t="shared" si="70"/>
        <v>1749924</v>
      </c>
      <c r="U728" s="44">
        <f t="shared" si="71"/>
        <v>619524</v>
      </c>
      <c r="V728" s="44"/>
    </row>
    <row r="729" spans="1:22" ht="14.5" x14ac:dyDescent="0.35">
      <c r="A729" s="47" t="str">
        <f t="shared" si="67"/>
        <v>JKT-ES-E1029-2019</v>
      </c>
      <c r="B729" s="26">
        <v>43656</v>
      </c>
      <c r="C729" s="42">
        <v>2019</v>
      </c>
      <c r="D729" s="27" t="s">
        <v>438</v>
      </c>
      <c r="E729" s="27" t="s">
        <v>32</v>
      </c>
      <c r="F729" s="42" t="str" cm="1">
        <f t="array" ref="F729">_xlfn.IFS(E729="Bandung","BDG",E729="Surabaya","SBY",E729="Jakarta","JKT")</f>
        <v>JKT</v>
      </c>
      <c r="G729" s="27" t="s">
        <v>37</v>
      </c>
      <c r="H729" s="27" t="s">
        <v>209</v>
      </c>
      <c r="I729" s="27" t="s">
        <v>236</v>
      </c>
      <c r="J729" s="26">
        <v>43776</v>
      </c>
      <c r="K729" s="26">
        <v>43657</v>
      </c>
      <c r="L729" s="27">
        <f t="shared" si="68"/>
        <v>1</v>
      </c>
      <c r="M729" s="45">
        <v>3240000</v>
      </c>
      <c r="N729" s="45">
        <v>6749850</v>
      </c>
      <c r="O729" s="27">
        <v>138</v>
      </c>
      <c r="P729" s="46">
        <f t="shared" si="69"/>
        <v>0.51998933309629103</v>
      </c>
      <c r="Q729" s="27">
        <v>49</v>
      </c>
      <c r="R729" s="44">
        <f t="shared" si="66"/>
        <v>330742650</v>
      </c>
      <c r="S729" s="29">
        <v>0.06</v>
      </c>
      <c r="T729" s="44">
        <f t="shared" si="70"/>
        <v>310898091</v>
      </c>
      <c r="U729" s="44">
        <f t="shared" si="71"/>
        <v>152138091</v>
      </c>
      <c r="V729" s="44"/>
    </row>
    <row r="730" spans="1:22" ht="14.5" x14ac:dyDescent="0.35">
      <c r="A730" s="47" t="str">
        <f t="shared" si="67"/>
        <v>SBY-EA-E1034-2016</v>
      </c>
      <c r="B730" s="26">
        <v>42598</v>
      </c>
      <c r="C730" s="42">
        <v>2016</v>
      </c>
      <c r="D730" s="27" t="s">
        <v>112</v>
      </c>
      <c r="E730" s="27" t="s">
        <v>41</v>
      </c>
      <c r="F730" s="42" t="str" cm="1">
        <f t="array" ref="F730">_xlfn.IFS(E730="Bandung","BDG",E730="Surabaya","SBY",E730="Jakarta","JKT")</f>
        <v>SBY</v>
      </c>
      <c r="G730" s="27" t="s">
        <v>65</v>
      </c>
      <c r="H730" s="27" t="s">
        <v>113</v>
      </c>
      <c r="I730" s="27" t="s">
        <v>39</v>
      </c>
      <c r="J730" s="26" t="s">
        <v>1562</v>
      </c>
      <c r="K730" s="26">
        <v>42600</v>
      </c>
      <c r="L730" s="27">
        <f t="shared" si="68"/>
        <v>2</v>
      </c>
      <c r="M730" s="45">
        <v>52050</v>
      </c>
      <c r="N730" s="45">
        <v>100200</v>
      </c>
      <c r="O730" s="27">
        <v>102</v>
      </c>
      <c r="P730" s="46">
        <f t="shared" si="69"/>
        <v>0.48053892215568861</v>
      </c>
      <c r="Q730" s="27">
        <v>41</v>
      </c>
      <c r="R730" s="44">
        <f t="shared" si="66"/>
        <v>4108200</v>
      </c>
      <c r="S730" s="29">
        <v>0.08</v>
      </c>
      <c r="T730" s="44">
        <f t="shared" si="70"/>
        <v>3779544</v>
      </c>
      <c r="U730" s="44">
        <f t="shared" si="71"/>
        <v>1645494</v>
      </c>
      <c r="V730" s="44"/>
    </row>
    <row r="731" spans="1:22" ht="14.5" x14ac:dyDescent="0.35">
      <c r="A731" s="47" t="str">
        <f t="shared" si="67"/>
        <v>SBY-EA-E1034-2018</v>
      </c>
      <c r="B731" s="26">
        <v>43352</v>
      </c>
      <c r="C731" s="42">
        <v>2018</v>
      </c>
      <c r="D731" s="27" t="s">
        <v>112</v>
      </c>
      <c r="E731" s="27" t="s">
        <v>41</v>
      </c>
      <c r="F731" s="42" t="str" cm="1">
        <f t="array" ref="F731">_xlfn.IFS(E731="Bandung","BDG",E731="Surabaya","SBY",E731="Jakarta","JKT")</f>
        <v>SBY</v>
      </c>
      <c r="G731" s="27" t="s">
        <v>65</v>
      </c>
      <c r="H731" s="27" t="s">
        <v>51</v>
      </c>
      <c r="I731" s="27" t="s">
        <v>39</v>
      </c>
      <c r="J731" s="26">
        <v>43353</v>
      </c>
      <c r="K731" s="26">
        <v>43382</v>
      </c>
      <c r="L731" s="27">
        <f t="shared" si="68"/>
        <v>30</v>
      </c>
      <c r="M731" s="45">
        <v>16350.000000000002</v>
      </c>
      <c r="N731" s="45">
        <v>39000</v>
      </c>
      <c r="O731" s="27">
        <v>83</v>
      </c>
      <c r="P731" s="46">
        <f t="shared" si="69"/>
        <v>0.58076923076923082</v>
      </c>
      <c r="Q731" s="27">
        <v>42</v>
      </c>
      <c r="R731" s="44">
        <f t="shared" si="66"/>
        <v>1638000</v>
      </c>
      <c r="S731" s="29">
        <v>0.05</v>
      </c>
      <c r="T731" s="44">
        <f t="shared" si="70"/>
        <v>1556100</v>
      </c>
      <c r="U731" s="44">
        <f t="shared" si="71"/>
        <v>869399.99999999988</v>
      </c>
      <c r="V731" s="44"/>
    </row>
    <row r="732" spans="1:22" ht="14.5" x14ac:dyDescent="0.35">
      <c r="A732" s="47" t="str">
        <f t="shared" si="67"/>
        <v>JKT-EW-E1029-2016</v>
      </c>
      <c r="B732" s="26">
        <v>42658</v>
      </c>
      <c r="C732" s="42">
        <v>2016</v>
      </c>
      <c r="D732" s="27" t="s">
        <v>190</v>
      </c>
      <c r="E732" s="27" t="s">
        <v>32</v>
      </c>
      <c r="F732" s="42" t="str" cm="1">
        <f t="array" ref="F732">_xlfn.IFS(E732="Bandung","BDG",E732="Surabaya","SBY",E732="Jakarta","JKT")</f>
        <v>JKT</v>
      </c>
      <c r="G732" s="27" t="s">
        <v>37</v>
      </c>
      <c r="H732" s="27" t="s">
        <v>191</v>
      </c>
      <c r="I732" s="27" t="s">
        <v>35</v>
      </c>
      <c r="J732" s="26" t="s">
        <v>1570</v>
      </c>
      <c r="K732" s="26">
        <v>42660</v>
      </c>
      <c r="L732" s="27">
        <f t="shared" si="68"/>
        <v>2</v>
      </c>
      <c r="M732" s="45">
        <v>29700</v>
      </c>
      <c r="N732" s="45">
        <v>47250</v>
      </c>
      <c r="O732" s="27">
        <v>86</v>
      </c>
      <c r="P732" s="46">
        <f t="shared" si="69"/>
        <v>0.37142857142857144</v>
      </c>
      <c r="Q732" s="27">
        <v>23</v>
      </c>
      <c r="R732" s="44">
        <f t="shared" si="66"/>
        <v>1086750</v>
      </c>
      <c r="S732" s="29">
        <v>0.01</v>
      </c>
      <c r="T732" s="44">
        <f t="shared" si="70"/>
        <v>1075882.5</v>
      </c>
      <c r="U732" s="44">
        <f t="shared" si="71"/>
        <v>392782.5</v>
      </c>
      <c r="V732" s="44"/>
    </row>
    <row r="733" spans="1:22" ht="14.5" x14ac:dyDescent="0.35">
      <c r="A733" s="47" t="str">
        <f t="shared" si="67"/>
        <v>JKT-EW-E1029-2019</v>
      </c>
      <c r="B733" s="26">
        <v>43472</v>
      </c>
      <c r="C733" s="42">
        <v>2019</v>
      </c>
      <c r="D733" s="27" t="s">
        <v>190</v>
      </c>
      <c r="E733" s="27" t="s">
        <v>32</v>
      </c>
      <c r="F733" s="42" t="str" cm="1">
        <f t="array" ref="F733">_xlfn.IFS(E733="Bandung","BDG",E733="Surabaya","SBY",E733="Jakarta","JKT")</f>
        <v>JKT</v>
      </c>
      <c r="G733" s="27" t="s">
        <v>37</v>
      </c>
      <c r="H733" s="27" t="s">
        <v>134</v>
      </c>
      <c r="I733" s="27" t="s">
        <v>35</v>
      </c>
      <c r="J733" s="26">
        <v>43473</v>
      </c>
      <c r="K733" s="26">
        <v>43678</v>
      </c>
      <c r="L733" s="27">
        <f t="shared" si="68"/>
        <v>206</v>
      </c>
      <c r="M733" s="45">
        <v>204600</v>
      </c>
      <c r="N733" s="45">
        <v>314700</v>
      </c>
      <c r="O733" s="27">
        <v>57</v>
      </c>
      <c r="P733" s="46">
        <f t="shared" si="69"/>
        <v>0.34985700667302194</v>
      </c>
      <c r="Q733" s="27">
        <v>10</v>
      </c>
      <c r="R733" s="44">
        <f t="shared" si="66"/>
        <v>3147000</v>
      </c>
      <c r="S733" s="29">
        <v>0.06</v>
      </c>
      <c r="T733" s="44">
        <f t="shared" si="70"/>
        <v>2958180</v>
      </c>
      <c r="U733" s="44">
        <f t="shared" si="71"/>
        <v>912180</v>
      </c>
      <c r="V733" s="44"/>
    </row>
    <row r="734" spans="1:22" ht="14.5" x14ac:dyDescent="0.35">
      <c r="A734" s="47" t="str">
        <f t="shared" si="67"/>
        <v>SBY-ES-E1032-2017</v>
      </c>
      <c r="B734" s="26">
        <v>42995</v>
      </c>
      <c r="C734" s="42">
        <v>2017</v>
      </c>
      <c r="D734" s="27" t="s">
        <v>429</v>
      </c>
      <c r="E734" s="27" t="s">
        <v>41</v>
      </c>
      <c r="F734" s="42" t="str" cm="1">
        <f t="array" ref="F734">_xlfn.IFS(E734="Bandung","BDG",E734="Surabaya","SBY",E734="Jakarta","JKT")</f>
        <v>SBY</v>
      </c>
      <c r="G734" s="27" t="s">
        <v>53</v>
      </c>
      <c r="H734" s="27" t="s">
        <v>150</v>
      </c>
      <c r="I734" s="27" t="s">
        <v>35</v>
      </c>
      <c r="J734" s="26" t="s">
        <v>1629</v>
      </c>
      <c r="K734" s="26">
        <v>42997</v>
      </c>
      <c r="L734" s="27">
        <f t="shared" si="68"/>
        <v>2</v>
      </c>
      <c r="M734" s="45">
        <v>185850</v>
      </c>
      <c r="N734" s="45">
        <v>299700</v>
      </c>
      <c r="O734" s="27">
        <v>78</v>
      </c>
      <c r="P734" s="46">
        <f t="shared" si="69"/>
        <v>0.37987987987987987</v>
      </c>
      <c r="Q734" s="27">
        <v>10</v>
      </c>
      <c r="R734" s="44">
        <f t="shared" si="66"/>
        <v>2997000</v>
      </c>
      <c r="S734" s="29">
        <v>0.1</v>
      </c>
      <c r="T734" s="44">
        <f t="shared" si="70"/>
        <v>2697300</v>
      </c>
      <c r="U734" s="44">
        <f t="shared" si="71"/>
        <v>838800</v>
      </c>
      <c r="V734" s="44"/>
    </row>
    <row r="735" spans="1:22" ht="14.5" x14ac:dyDescent="0.35">
      <c r="A735" s="47" t="str">
        <f t="shared" si="67"/>
        <v>SBY-ES-E1032-2019</v>
      </c>
      <c r="B735" s="26">
        <v>43542</v>
      </c>
      <c r="C735" s="42">
        <v>2019</v>
      </c>
      <c r="D735" s="27" t="s">
        <v>429</v>
      </c>
      <c r="E735" s="27" t="s">
        <v>41</v>
      </c>
      <c r="F735" s="42" t="str" cm="1">
        <f t="array" ref="F735">_xlfn.IFS(E735="Bandung","BDG",E735="Surabaya","SBY",E735="Jakarta","JKT")</f>
        <v>SBY</v>
      </c>
      <c r="G735" s="27" t="s">
        <v>53</v>
      </c>
      <c r="H735" s="27" t="s">
        <v>440</v>
      </c>
      <c r="I735" s="27" t="s">
        <v>35</v>
      </c>
      <c r="J735" s="26">
        <v>43543</v>
      </c>
      <c r="K735" s="26">
        <v>43543</v>
      </c>
      <c r="L735" s="27">
        <f t="shared" si="68"/>
        <v>1</v>
      </c>
      <c r="M735" s="45">
        <v>27600</v>
      </c>
      <c r="N735" s="45">
        <v>43200</v>
      </c>
      <c r="O735" s="27">
        <v>101</v>
      </c>
      <c r="P735" s="46">
        <f t="shared" si="69"/>
        <v>0.3611111111111111</v>
      </c>
      <c r="Q735" s="27">
        <v>28</v>
      </c>
      <c r="R735" s="44">
        <f t="shared" si="66"/>
        <v>1209600</v>
      </c>
      <c r="S735" s="29">
        <v>0.1</v>
      </c>
      <c r="T735" s="44">
        <f t="shared" si="70"/>
        <v>1088640</v>
      </c>
      <c r="U735" s="44">
        <f t="shared" si="71"/>
        <v>315840</v>
      </c>
      <c r="V735" s="44"/>
    </row>
    <row r="736" spans="1:22" ht="14.5" x14ac:dyDescent="0.35">
      <c r="A736" s="47" t="str">
        <f t="shared" si="67"/>
        <v>SBY-ES-E1032-2019</v>
      </c>
      <c r="B736" s="26">
        <v>43751</v>
      </c>
      <c r="C736" s="42">
        <v>2019</v>
      </c>
      <c r="D736" s="27" t="s">
        <v>429</v>
      </c>
      <c r="E736" s="27" t="s">
        <v>41</v>
      </c>
      <c r="F736" s="42" t="str" cm="1">
        <f t="array" ref="F736">_xlfn.IFS(E736="Bandung","BDG",E736="Surabaya","SBY",E736="Jakarta","JKT")</f>
        <v>SBY</v>
      </c>
      <c r="G736" s="27" t="s">
        <v>53</v>
      </c>
      <c r="H736" s="27" t="s">
        <v>204</v>
      </c>
      <c r="I736" s="27" t="s">
        <v>39</v>
      </c>
      <c r="J736" s="26">
        <v>43752</v>
      </c>
      <c r="K736" s="26">
        <v>43752</v>
      </c>
      <c r="L736" s="27">
        <f t="shared" si="68"/>
        <v>1</v>
      </c>
      <c r="M736" s="45">
        <v>3600</v>
      </c>
      <c r="N736" s="45">
        <v>18900</v>
      </c>
      <c r="O736" s="27">
        <v>113</v>
      </c>
      <c r="P736" s="46">
        <f t="shared" si="69"/>
        <v>0.80952380952380953</v>
      </c>
      <c r="Q736" s="27">
        <v>47</v>
      </c>
      <c r="R736" s="44">
        <f t="shared" si="66"/>
        <v>888300</v>
      </c>
      <c r="S736" s="29">
        <v>0</v>
      </c>
      <c r="T736" s="44">
        <f t="shared" si="70"/>
        <v>888300</v>
      </c>
      <c r="U736" s="44">
        <f t="shared" si="71"/>
        <v>719100</v>
      </c>
      <c r="V736" s="44"/>
    </row>
    <row r="737" spans="1:22" ht="14.5" x14ac:dyDescent="0.35">
      <c r="A737" s="47" t="str">
        <f t="shared" si="67"/>
        <v>SBY-EM-E1040-2019</v>
      </c>
      <c r="B737" s="26">
        <v>43571</v>
      </c>
      <c r="C737" s="42">
        <v>2019</v>
      </c>
      <c r="D737" s="27" t="s">
        <v>649</v>
      </c>
      <c r="E737" s="27" t="s">
        <v>41</v>
      </c>
      <c r="F737" s="42" t="str" cm="1">
        <f t="array" ref="F737">_xlfn.IFS(E737="Bandung","BDG",E737="Surabaya","SBY",E737="Jakarta","JKT")</f>
        <v>SBY</v>
      </c>
      <c r="G737" s="27" t="s">
        <v>160</v>
      </c>
      <c r="H737" s="27" t="s">
        <v>445</v>
      </c>
      <c r="I737" s="27" t="s">
        <v>35</v>
      </c>
      <c r="J737" s="26">
        <v>43572</v>
      </c>
      <c r="K737" s="26">
        <v>43572</v>
      </c>
      <c r="L737" s="27">
        <f t="shared" si="68"/>
        <v>1</v>
      </c>
      <c r="M737" s="45">
        <v>220500</v>
      </c>
      <c r="N737" s="45">
        <v>449850</v>
      </c>
      <c r="O737" s="27">
        <v>46</v>
      </c>
      <c r="P737" s="46">
        <f t="shared" si="69"/>
        <v>0.50983661220406806</v>
      </c>
      <c r="Q737" s="27">
        <v>14</v>
      </c>
      <c r="R737" s="44">
        <f t="shared" si="66"/>
        <v>6297900</v>
      </c>
      <c r="S737" s="29">
        <v>0.04</v>
      </c>
      <c r="T737" s="44">
        <f t="shared" si="70"/>
        <v>6045984</v>
      </c>
      <c r="U737" s="44">
        <f t="shared" si="71"/>
        <v>2958984</v>
      </c>
      <c r="V737" s="44"/>
    </row>
    <row r="738" spans="1:22" ht="14.5" x14ac:dyDescent="0.35">
      <c r="A738" s="47" t="str">
        <f t="shared" si="67"/>
        <v>SBY-EA-E1039-2017</v>
      </c>
      <c r="B738" s="26">
        <v>42779</v>
      </c>
      <c r="C738" s="42">
        <v>2017</v>
      </c>
      <c r="D738" s="27" t="s">
        <v>300</v>
      </c>
      <c r="E738" s="27" t="s">
        <v>41</v>
      </c>
      <c r="F738" s="42" t="str" cm="1">
        <f t="array" ref="F738">_xlfn.IFS(E738="Bandung","BDG",E738="Surabaya","SBY",E738="Jakarta","JKT")</f>
        <v>SBY</v>
      </c>
      <c r="G738" s="27" t="s">
        <v>103</v>
      </c>
      <c r="H738" s="27" t="s">
        <v>115</v>
      </c>
      <c r="I738" s="27" t="s">
        <v>73</v>
      </c>
      <c r="J738" s="26">
        <v>42780</v>
      </c>
      <c r="K738" s="26">
        <v>42780</v>
      </c>
      <c r="L738" s="27">
        <f t="shared" si="68"/>
        <v>1</v>
      </c>
      <c r="M738" s="45">
        <v>28050</v>
      </c>
      <c r="N738" s="45">
        <v>121799.99999999999</v>
      </c>
      <c r="O738" s="27">
        <v>100</v>
      </c>
      <c r="P738" s="46">
        <f t="shared" si="69"/>
        <v>0.76970443349753692</v>
      </c>
      <c r="Q738" s="27">
        <v>16</v>
      </c>
      <c r="R738" s="44">
        <f t="shared" si="66"/>
        <v>1948799.9999999998</v>
      </c>
      <c r="S738" s="29">
        <v>0.03</v>
      </c>
      <c r="T738" s="44">
        <f t="shared" si="70"/>
        <v>1890335.9999999998</v>
      </c>
      <c r="U738" s="44">
        <f t="shared" si="71"/>
        <v>1441535.9999999998</v>
      </c>
      <c r="V738" s="44"/>
    </row>
    <row r="739" spans="1:22" ht="14.5" x14ac:dyDescent="0.35">
      <c r="A739" s="47" t="str">
        <f t="shared" si="67"/>
        <v>SBY-EA-E1039-2019</v>
      </c>
      <c r="B739" s="26">
        <v>43818</v>
      </c>
      <c r="C739" s="42">
        <v>2019</v>
      </c>
      <c r="D739" s="27" t="s">
        <v>300</v>
      </c>
      <c r="E739" s="27" t="s">
        <v>41</v>
      </c>
      <c r="F739" s="42" t="str" cm="1">
        <f t="array" ref="F739">_xlfn.IFS(E739="Bandung","BDG",E739="Surabaya","SBY",E739="Jakarta","JKT")</f>
        <v>SBY</v>
      </c>
      <c r="G739" s="27" t="s">
        <v>103</v>
      </c>
      <c r="H739" s="27" t="s">
        <v>343</v>
      </c>
      <c r="I739" s="27" t="s">
        <v>39</v>
      </c>
      <c r="J739" s="26">
        <v>43820</v>
      </c>
      <c r="K739" s="26">
        <v>43820</v>
      </c>
      <c r="L739" s="27">
        <f t="shared" si="68"/>
        <v>2</v>
      </c>
      <c r="M739" s="45">
        <v>34650</v>
      </c>
      <c r="N739" s="45">
        <v>56700</v>
      </c>
      <c r="O739" s="27">
        <v>113</v>
      </c>
      <c r="P739" s="46">
        <f t="shared" si="69"/>
        <v>0.3888888888888889</v>
      </c>
      <c r="Q739" s="27">
        <v>38</v>
      </c>
      <c r="R739" s="44">
        <f t="shared" si="66"/>
        <v>2154600</v>
      </c>
      <c r="S739" s="29">
        <v>0.03</v>
      </c>
      <c r="T739" s="44">
        <f t="shared" si="70"/>
        <v>2089962</v>
      </c>
      <c r="U739" s="44">
        <f t="shared" si="71"/>
        <v>773262</v>
      </c>
      <c r="V739" s="44"/>
    </row>
    <row r="740" spans="1:22" ht="14.5" x14ac:dyDescent="0.35">
      <c r="A740" s="47" t="str">
        <f t="shared" si="67"/>
        <v>SBY-EA-E1030-2016</v>
      </c>
      <c r="B740" s="26">
        <v>42640</v>
      </c>
      <c r="C740" s="42">
        <v>2016</v>
      </c>
      <c r="D740" s="27" t="s">
        <v>172</v>
      </c>
      <c r="E740" s="27" t="s">
        <v>41</v>
      </c>
      <c r="F740" s="42" t="str" cm="1">
        <f t="array" ref="F740">_xlfn.IFS(E740="Bandung","BDG",E740="Surabaya","SBY",E740="Jakarta","JKT")</f>
        <v>SBY</v>
      </c>
      <c r="G740" s="27" t="s">
        <v>42</v>
      </c>
      <c r="H740" s="27" t="s">
        <v>144</v>
      </c>
      <c r="I740" s="27" t="s">
        <v>35</v>
      </c>
      <c r="J740" s="26">
        <v>42642</v>
      </c>
      <c r="K740" s="26">
        <v>42642</v>
      </c>
      <c r="L740" s="27">
        <f t="shared" si="68"/>
        <v>2</v>
      </c>
      <c r="M740" s="45">
        <v>2347500</v>
      </c>
      <c r="N740" s="45">
        <v>4514550</v>
      </c>
      <c r="O740" s="27">
        <v>66</v>
      </c>
      <c r="P740" s="46">
        <f t="shared" si="69"/>
        <v>0.48001461939728213</v>
      </c>
      <c r="Q740" s="27">
        <v>5</v>
      </c>
      <c r="R740" s="44">
        <f t="shared" si="66"/>
        <v>22572750</v>
      </c>
      <c r="S740" s="29">
        <v>7.0000000000000007E-2</v>
      </c>
      <c r="T740" s="44">
        <f t="shared" si="70"/>
        <v>20992657.5</v>
      </c>
      <c r="U740" s="44">
        <f t="shared" si="71"/>
        <v>9255157.5</v>
      </c>
      <c r="V740" s="44"/>
    </row>
    <row r="741" spans="1:22" ht="14.5" x14ac:dyDescent="0.35">
      <c r="A741" s="47" t="str">
        <f t="shared" si="67"/>
        <v>SBY-EA-E1030-2017</v>
      </c>
      <c r="B741" s="26">
        <v>42883</v>
      </c>
      <c r="C741" s="42">
        <v>2017</v>
      </c>
      <c r="D741" s="27" t="s">
        <v>172</v>
      </c>
      <c r="E741" s="27" t="s">
        <v>41</v>
      </c>
      <c r="F741" s="42" t="str" cm="1">
        <f t="array" ref="F741">_xlfn.IFS(E741="Bandung","BDG",E741="Surabaya","SBY",E741="Jakarta","JKT")</f>
        <v>SBY</v>
      </c>
      <c r="G741" s="27" t="s">
        <v>42</v>
      </c>
      <c r="H741" s="27" t="s">
        <v>370</v>
      </c>
      <c r="I741" s="27" t="s">
        <v>39</v>
      </c>
      <c r="J741" s="26" t="s">
        <v>1611</v>
      </c>
      <c r="K741" s="26">
        <v>42883</v>
      </c>
      <c r="L741" s="27">
        <f t="shared" si="68"/>
        <v>0</v>
      </c>
      <c r="M741" s="45">
        <v>32400.000000000004</v>
      </c>
      <c r="N741" s="45">
        <v>57750</v>
      </c>
      <c r="O741" s="27">
        <v>43</v>
      </c>
      <c r="P741" s="46">
        <f t="shared" si="69"/>
        <v>0.43896103896103889</v>
      </c>
      <c r="Q741" s="27">
        <v>31</v>
      </c>
      <c r="R741" s="44">
        <f t="shared" si="66"/>
        <v>1790250</v>
      </c>
      <c r="S741" s="29">
        <v>0.09</v>
      </c>
      <c r="T741" s="44">
        <f t="shared" si="70"/>
        <v>1629127.5</v>
      </c>
      <c r="U741" s="44">
        <f t="shared" si="71"/>
        <v>624727.49999999988</v>
      </c>
      <c r="V741" s="44"/>
    </row>
    <row r="742" spans="1:22" ht="14.5" x14ac:dyDescent="0.35">
      <c r="A742" s="47" t="str">
        <f t="shared" si="67"/>
        <v>SBY-EA-E1030-2020</v>
      </c>
      <c r="B742" s="26">
        <v>43905</v>
      </c>
      <c r="C742" s="42">
        <v>2020</v>
      </c>
      <c r="D742" s="27" t="s">
        <v>172</v>
      </c>
      <c r="E742" s="27" t="s">
        <v>41</v>
      </c>
      <c r="F742" s="42" t="str" cm="1">
        <f t="array" ref="F742">_xlfn.IFS(E742="Bandung","BDG",E742="Surabaya","SBY",E742="Jakarta","JKT")</f>
        <v>SBY</v>
      </c>
      <c r="G742" s="27" t="s">
        <v>42</v>
      </c>
      <c r="H742" s="27" t="s">
        <v>206</v>
      </c>
      <c r="I742" s="27" t="s">
        <v>35</v>
      </c>
      <c r="J742" s="26" t="s">
        <v>1779</v>
      </c>
      <c r="K742" s="26">
        <v>43906</v>
      </c>
      <c r="L742" s="27">
        <f t="shared" si="68"/>
        <v>1</v>
      </c>
      <c r="M742" s="45">
        <v>817800</v>
      </c>
      <c r="N742" s="45">
        <v>1514550</v>
      </c>
      <c r="O742" s="27">
        <v>85</v>
      </c>
      <c r="P742" s="46">
        <f t="shared" si="69"/>
        <v>0.46003763494107158</v>
      </c>
      <c r="Q742" s="27">
        <v>42</v>
      </c>
      <c r="R742" s="44">
        <f t="shared" si="66"/>
        <v>63611100</v>
      </c>
      <c r="S742" s="29">
        <v>0.1</v>
      </c>
      <c r="T742" s="44">
        <f t="shared" si="70"/>
        <v>57249990</v>
      </c>
      <c r="U742" s="44">
        <f t="shared" si="71"/>
        <v>22902390</v>
      </c>
      <c r="V742" s="44"/>
    </row>
    <row r="743" spans="1:22" ht="14.5" x14ac:dyDescent="0.35">
      <c r="A743" s="47" t="str">
        <f t="shared" si="67"/>
        <v>SBY-EZ-E1038-2017</v>
      </c>
      <c r="B743" s="26">
        <v>42816</v>
      </c>
      <c r="C743" s="42">
        <v>2017</v>
      </c>
      <c r="D743" s="27" t="s">
        <v>324</v>
      </c>
      <c r="E743" s="27" t="s">
        <v>41</v>
      </c>
      <c r="F743" s="42" t="str" cm="1">
        <f t="array" ref="F743">_xlfn.IFS(E743="Bandung","BDG",E743="Surabaya","SBY",E743="Jakarta","JKT")</f>
        <v>SBY</v>
      </c>
      <c r="G743" s="27" t="s">
        <v>98</v>
      </c>
      <c r="H743" s="27" t="s">
        <v>178</v>
      </c>
      <c r="I743" s="27" t="s">
        <v>39</v>
      </c>
      <c r="J743" s="26" t="s">
        <v>1598</v>
      </c>
      <c r="K743" s="26">
        <v>42823</v>
      </c>
      <c r="L743" s="27">
        <f t="shared" si="68"/>
        <v>7</v>
      </c>
      <c r="M743" s="45">
        <v>24000</v>
      </c>
      <c r="N743" s="45">
        <v>39300</v>
      </c>
      <c r="O743" s="27">
        <v>95</v>
      </c>
      <c r="P743" s="46">
        <f t="shared" si="69"/>
        <v>0.38931297709923662</v>
      </c>
      <c r="Q743" s="27">
        <v>47</v>
      </c>
      <c r="R743" s="44">
        <f t="shared" si="66"/>
        <v>1847100</v>
      </c>
      <c r="S743" s="29">
        <v>0.1</v>
      </c>
      <c r="T743" s="44">
        <f t="shared" si="70"/>
        <v>1662390</v>
      </c>
      <c r="U743" s="44">
        <f t="shared" si="71"/>
        <v>534390</v>
      </c>
      <c r="V743" s="44"/>
    </row>
    <row r="744" spans="1:22" ht="14.5" x14ac:dyDescent="0.35">
      <c r="A744" s="47" t="str">
        <f t="shared" si="67"/>
        <v>SBY-EZ-E1038-2017</v>
      </c>
      <c r="B744" s="26">
        <v>42895</v>
      </c>
      <c r="C744" s="42">
        <v>2017</v>
      </c>
      <c r="D744" s="27" t="s">
        <v>324</v>
      </c>
      <c r="E744" s="27" t="s">
        <v>41</v>
      </c>
      <c r="F744" s="42" t="str" cm="1">
        <f t="array" ref="F744">_xlfn.IFS(E744="Bandung","BDG",E744="Surabaya","SBY",E744="Jakarta","JKT")</f>
        <v>SBY</v>
      </c>
      <c r="G744" s="27" t="s">
        <v>98</v>
      </c>
      <c r="H744" s="27" t="s">
        <v>113</v>
      </c>
      <c r="I744" s="27" t="s">
        <v>39</v>
      </c>
      <c r="J744" s="26">
        <v>42897</v>
      </c>
      <c r="K744" s="26">
        <v>43045</v>
      </c>
      <c r="L744" s="27">
        <f t="shared" si="68"/>
        <v>150</v>
      </c>
      <c r="M744" s="45">
        <v>52050</v>
      </c>
      <c r="N744" s="45">
        <v>100200</v>
      </c>
      <c r="O744" s="27">
        <v>61</v>
      </c>
      <c r="P744" s="46">
        <f t="shared" si="69"/>
        <v>0.48053892215568861</v>
      </c>
      <c r="Q744" s="27">
        <v>33</v>
      </c>
      <c r="R744" s="44">
        <f t="shared" si="66"/>
        <v>3306600</v>
      </c>
      <c r="S744" s="29">
        <v>0.03</v>
      </c>
      <c r="T744" s="44">
        <f t="shared" si="70"/>
        <v>3207402</v>
      </c>
      <c r="U744" s="44">
        <f t="shared" si="71"/>
        <v>1489752</v>
      </c>
      <c r="V744" s="44"/>
    </row>
    <row r="745" spans="1:22" ht="14.5" x14ac:dyDescent="0.35">
      <c r="A745" s="47" t="str">
        <f t="shared" si="67"/>
        <v>SBY-EZ-E1038-2020</v>
      </c>
      <c r="B745" s="26">
        <v>43914</v>
      </c>
      <c r="C745" s="42">
        <v>2020</v>
      </c>
      <c r="D745" s="27" t="s">
        <v>324</v>
      </c>
      <c r="E745" s="27" t="s">
        <v>41</v>
      </c>
      <c r="F745" s="42" t="str" cm="1">
        <f t="array" ref="F745">_xlfn.IFS(E745="Bandung","BDG",E745="Surabaya","SBY",E745="Jakarta","JKT")</f>
        <v>SBY</v>
      </c>
      <c r="G745" s="27" t="s">
        <v>98</v>
      </c>
      <c r="H745" s="27" t="s">
        <v>89</v>
      </c>
      <c r="I745" s="27" t="s">
        <v>73</v>
      </c>
      <c r="J745" s="26" t="s">
        <v>1784</v>
      </c>
      <c r="K745" s="26">
        <v>43916</v>
      </c>
      <c r="L745" s="27">
        <f t="shared" si="68"/>
        <v>2</v>
      </c>
      <c r="M745" s="45">
        <v>14100</v>
      </c>
      <c r="N745" s="45">
        <v>31200</v>
      </c>
      <c r="O745" s="27">
        <v>40</v>
      </c>
      <c r="P745" s="46">
        <f t="shared" si="69"/>
        <v>0.54807692307692313</v>
      </c>
      <c r="Q745" s="27">
        <v>36</v>
      </c>
      <c r="R745" s="44">
        <f t="shared" si="66"/>
        <v>1123200</v>
      </c>
      <c r="S745" s="29">
        <v>0.1</v>
      </c>
      <c r="T745" s="44">
        <f t="shared" si="70"/>
        <v>1010880</v>
      </c>
      <c r="U745" s="44">
        <f t="shared" si="71"/>
        <v>503280</v>
      </c>
      <c r="V745" s="44"/>
    </row>
    <row r="746" spans="1:22" ht="14.5" x14ac:dyDescent="0.35">
      <c r="A746" s="47" t="str">
        <f t="shared" si="67"/>
        <v>SBY-ER-E1036-2017</v>
      </c>
      <c r="B746" s="26">
        <v>42864</v>
      </c>
      <c r="C746" s="42">
        <v>2017</v>
      </c>
      <c r="D746" s="27" t="s">
        <v>353</v>
      </c>
      <c r="E746" s="27" t="s">
        <v>41</v>
      </c>
      <c r="F746" s="42" t="str" cm="1">
        <f t="array" ref="F746">_xlfn.IFS(E746="Bandung","BDG",E746="Surabaya","SBY",E746="Jakarta","JKT")</f>
        <v>SBY</v>
      </c>
      <c r="G746" s="27" t="s">
        <v>78</v>
      </c>
      <c r="H746" s="27" t="s">
        <v>51</v>
      </c>
      <c r="I746" s="27" t="s">
        <v>39</v>
      </c>
      <c r="J746" s="26">
        <v>42866</v>
      </c>
      <c r="K746" s="26">
        <v>43044</v>
      </c>
      <c r="L746" s="27">
        <f t="shared" si="68"/>
        <v>180</v>
      </c>
      <c r="M746" s="45">
        <v>16350.000000000002</v>
      </c>
      <c r="N746" s="45">
        <v>39000</v>
      </c>
      <c r="O746" s="27">
        <v>41</v>
      </c>
      <c r="P746" s="46">
        <f t="shared" si="69"/>
        <v>0.58076923076923082</v>
      </c>
      <c r="Q746" s="27">
        <v>27</v>
      </c>
      <c r="R746" s="44">
        <f t="shared" si="66"/>
        <v>1053000</v>
      </c>
      <c r="S746" s="29">
        <v>0.09</v>
      </c>
      <c r="T746" s="44">
        <f t="shared" si="70"/>
        <v>958230</v>
      </c>
      <c r="U746" s="44">
        <f t="shared" si="71"/>
        <v>516779.99999999994</v>
      </c>
      <c r="V746" s="44"/>
    </row>
    <row r="747" spans="1:22" ht="14.5" x14ac:dyDescent="0.35">
      <c r="A747" s="47" t="str">
        <f t="shared" si="67"/>
        <v>SBY-ER-E1036-2019</v>
      </c>
      <c r="B747" s="26">
        <v>43819</v>
      </c>
      <c r="C747" s="42">
        <v>2019</v>
      </c>
      <c r="D747" s="27" t="s">
        <v>353</v>
      </c>
      <c r="E747" s="27" t="s">
        <v>41</v>
      </c>
      <c r="F747" s="42" t="str" cm="1">
        <f t="array" ref="F747">_xlfn.IFS(E747="Bandung","BDG",E747="Surabaya","SBY",E747="Jakarta","JKT")</f>
        <v>SBY</v>
      </c>
      <c r="G747" s="27" t="s">
        <v>78</v>
      </c>
      <c r="H747" s="27" t="s">
        <v>287</v>
      </c>
      <c r="I747" s="27" t="s">
        <v>35</v>
      </c>
      <c r="J747" s="26" t="s">
        <v>1761</v>
      </c>
      <c r="K747" s="26">
        <v>43821</v>
      </c>
      <c r="L747" s="27">
        <f t="shared" si="68"/>
        <v>2</v>
      </c>
      <c r="M747" s="45">
        <v>936000</v>
      </c>
      <c r="N747" s="45">
        <v>2339850</v>
      </c>
      <c r="O747" s="27">
        <v>22</v>
      </c>
      <c r="P747" s="46">
        <f t="shared" si="69"/>
        <v>0.59997435733059812</v>
      </c>
      <c r="Q747" s="27">
        <v>22</v>
      </c>
      <c r="R747" s="44">
        <f t="shared" si="66"/>
        <v>51476700</v>
      </c>
      <c r="S747" s="29">
        <v>0.02</v>
      </c>
      <c r="T747" s="44">
        <f t="shared" si="70"/>
        <v>50447166</v>
      </c>
      <c r="U747" s="44">
        <f t="shared" si="71"/>
        <v>29855166</v>
      </c>
      <c r="V747" s="44"/>
    </row>
    <row r="748" spans="1:22" ht="14.5" x14ac:dyDescent="0.35">
      <c r="A748" s="47" t="str">
        <f t="shared" si="67"/>
        <v>BDG-EW-E1033-2017</v>
      </c>
      <c r="B748" s="26">
        <v>42910</v>
      </c>
      <c r="C748" s="42">
        <v>2017</v>
      </c>
      <c r="D748" s="27" t="s">
        <v>387</v>
      </c>
      <c r="E748" s="27" t="s">
        <v>136</v>
      </c>
      <c r="F748" s="42" t="str" cm="1">
        <f t="array" ref="F748">_xlfn.IFS(E748="Bandung","BDG",E748="Surabaya","SBY",E748="Jakarta","JKT")</f>
        <v>BDG</v>
      </c>
      <c r="G748" s="27" t="s">
        <v>60</v>
      </c>
      <c r="H748" s="27" t="s">
        <v>154</v>
      </c>
      <c r="I748" s="27" t="s">
        <v>35</v>
      </c>
      <c r="J748" s="26">
        <v>42911</v>
      </c>
      <c r="K748" s="26">
        <v>42911</v>
      </c>
      <c r="L748" s="27">
        <f t="shared" si="68"/>
        <v>1</v>
      </c>
      <c r="M748" s="45">
        <v>908850</v>
      </c>
      <c r="N748" s="45">
        <v>1514700</v>
      </c>
      <c r="O748" s="27">
        <v>76</v>
      </c>
      <c r="P748" s="46">
        <f t="shared" si="69"/>
        <v>0.39998019409784114</v>
      </c>
      <c r="Q748" s="27">
        <v>5</v>
      </c>
      <c r="R748" s="44">
        <f t="shared" si="66"/>
        <v>7573500</v>
      </c>
      <c r="S748" s="29">
        <v>0.02</v>
      </c>
      <c r="T748" s="44">
        <f t="shared" si="70"/>
        <v>7422030</v>
      </c>
      <c r="U748" s="44">
        <f t="shared" si="71"/>
        <v>2877780</v>
      </c>
      <c r="V748" s="44"/>
    </row>
    <row r="749" spans="1:22" ht="14.5" x14ac:dyDescent="0.35">
      <c r="A749" s="47" t="str">
        <f t="shared" si="67"/>
        <v>BDG-EW-E1033-2019</v>
      </c>
      <c r="B749" s="26">
        <v>43569</v>
      </c>
      <c r="C749" s="42">
        <v>2019</v>
      </c>
      <c r="D749" s="27" t="s">
        <v>387</v>
      </c>
      <c r="E749" s="27" t="s">
        <v>136</v>
      </c>
      <c r="F749" s="42" t="str" cm="1">
        <f t="array" ref="F749">_xlfn.IFS(E749="Bandung","BDG",E749="Surabaya","SBY",E749="Jakarta","JKT")</f>
        <v>BDG</v>
      </c>
      <c r="G749" s="27" t="s">
        <v>60</v>
      </c>
      <c r="H749" s="27" t="s">
        <v>293</v>
      </c>
      <c r="I749" s="27" t="s">
        <v>35</v>
      </c>
      <c r="J749" s="26">
        <v>43570</v>
      </c>
      <c r="K749" s="26">
        <v>43570</v>
      </c>
      <c r="L749" s="27">
        <f t="shared" si="68"/>
        <v>1</v>
      </c>
      <c r="M749" s="45">
        <v>67950</v>
      </c>
      <c r="N749" s="45">
        <v>109500</v>
      </c>
      <c r="O749" s="27">
        <v>84</v>
      </c>
      <c r="P749" s="46">
        <f t="shared" si="69"/>
        <v>0.37945205479452054</v>
      </c>
      <c r="Q749" s="27">
        <v>38</v>
      </c>
      <c r="R749" s="44">
        <f t="shared" si="66"/>
        <v>4161000</v>
      </c>
      <c r="S749" s="29">
        <v>0.05</v>
      </c>
      <c r="T749" s="44">
        <f t="shared" si="70"/>
        <v>3952950</v>
      </c>
      <c r="U749" s="44">
        <f t="shared" si="71"/>
        <v>1370850</v>
      </c>
      <c r="V749" s="44"/>
    </row>
    <row r="750" spans="1:22" ht="14.5" x14ac:dyDescent="0.35">
      <c r="A750" s="47" t="str">
        <f t="shared" si="67"/>
        <v>BDG-EW-E1033-2019</v>
      </c>
      <c r="B750" s="26">
        <v>43569</v>
      </c>
      <c r="C750" s="42">
        <v>2019</v>
      </c>
      <c r="D750" s="27" t="s">
        <v>387</v>
      </c>
      <c r="E750" s="27" t="s">
        <v>136</v>
      </c>
      <c r="F750" s="42" t="str" cm="1">
        <f t="array" ref="F750">_xlfn.IFS(E750="Bandung","BDG",E750="Surabaya","SBY",E750="Jakarta","JKT")</f>
        <v>BDG</v>
      </c>
      <c r="G750" s="27" t="s">
        <v>60</v>
      </c>
      <c r="H750" s="27" t="s">
        <v>199</v>
      </c>
      <c r="I750" s="27" t="s">
        <v>39</v>
      </c>
      <c r="J750" s="26">
        <v>43570</v>
      </c>
      <c r="K750" s="26">
        <v>43570</v>
      </c>
      <c r="L750" s="27">
        <f t="shared" si="68"/>
        <v>1</v>
      </c>
      <c r="M750" s="45">
        <v>65550</v>
      </c>
      <c r="N750" s="45">
        <v>136650</v>
      </c>
      <c r="O750" s="27">
        <v>70</v>
      </c>
      <c r="P750" s="46">
        <f t="shared" si="69"/>
        <v>0.52030735455543364</v>
      </c>
      <c r="Q750" s="27">
        <v>21</v>
      </c>
      <c r="R750" s="44">
        <f t="shared" si="66"/>
        <v>2869650</v>
      </c>
      <c r="S750" s="29">
        <v>0.03</v>
      </c>
      <c r="T750" s="44">
        <f t="shared" si="70"/>
        <v>2783560.5</v>
      </c>
      <c r="U750" s="44">
        <f t="shared" si="71"/>
        <v>1407010.5</v>
      </c>
      <c r="V750" s="44"/>
    </row>
    <row r="751" spans="1:22" ht="14.5" x14ac:dyDescent="0.35">
      <c r="A751" s="47" t="str">
        <f t="shared" si="67"/>
        <v>BDG-EW-E1033-2019</v>
      </c>
      <c r="B751" s="26">
        <v>43569</v>
      </c>
      <c r="C751" s="42">
        <v>2019</v>
      </c>
      <c r="D751" s="27" t="s">
        <v>387</v>
      </c>
      <c r="E751" s="27" t="s">
        <v>136</v>
      </c>
      <c r="F751" s="42" t="str" cm="1">
        <f t="array" ref="F751">_xlfn.IFS(E751="Bandung","BDG",E751="Surabaya","SBY",E751="Jakarta","JKT")</f>
        <v>BDG</v>
      </c>
      <c r="G751" s="27" t="s">
        <v>60</v>
      </c>
      <c r="H751" s="27" t="s">
        <v>303</v>
      </c>
      <c r="I751" s="27" t="s">
        <v>35</v>
      </c>
      <c r="J751" s="26" t="s">
        <v>1725</v>
      </c>
      <c r="K751" s="26">
        <v>43570</v>
      </c>
      <c r="L751" s="27">
        <f t="shared" si="68"/>
        <v>1</v>
      </c>
      <c r="M751" s="45">
        <v>34350</v>
      </c>
      <c r="N751" s="45">
        <v>55350</v>
      </c>
      <c r="O751" s="27">
        <v>158</v>
      </c>
      <c r="P751" s="46">
        <f t="shared" si="69"/>
        <v>0.37940379403794039</v>
      </c>
      <c r="Q751" s="27">
        <v>41</v>
      </c>
      <c r="R751" s="44">
        <f t="shared" si="66"/>
        <v>2269350</v>
      </c>
      <c r="S751" s="29">
        <v>0.01</v>
      </c>
      <c r="T751" s="44">
        <f t="shared" si="70"/>
        <v>2246656.5</v>
      </c>
      <c r="U751" s="44">
        <f t="shared" si="71"/>
        <v>838306.5</v>
      </c>
      <c r="V751" s="44"/>
    </row>
    <row r="752" spans="1:22" ht="14.5" x14ac:dyDescent="0.35">
      <c r="A752" s="47" t="str">
        <f t="shared" si="67"/>
        <v>SBY-DY-E1031-2017</v>
      </c>
      <c r="B752" s="26">
        <v>42929</v>
      </c>
      <c r="C752" s="42">
        <v>2017</v>
      </c>
      <c r="D752" s="27" t="s">
        <v>395</v>
      </c>
      <c r="E752" s="27" t="s">
        <v>41</v>
      </c>
      <c r="F752" s="42" t="str" cm="1">
        <f t="array" ref="F752">_xlfn.IFS(E752="Bandung","BDG",E752="Surabaya","SBY",E752="Jakarta","JKT")</f>
        <v>SBY</v>
      </c>
      <c r="G752" s="27" t="s">
        <v>48</v>
      </c>
      <c r="H752" s="27" t="s">
        <v>199</v>
      </c>
      <c r="I752" s="27" t="s">
        <v>39</v>
      </c>
      <c r="J752" s="26">
        <v>42929</v>
      </c>
      <c r="K752" s="26">
        <v>42929</v>
      </c>
      <c r="L752" s="27">
        <f t="shared" si="68"/>
        <v>0</v>
      </c>
      <c r="M752" s="45">
        <v>65550</v>
      </c>
      <c r="N752" s="45">
        <v>136650</v>
      </c>
      <c r="O752" s="27">
        <v>49</v>
      </c>
      <c r="P752" s="46">
        <f t="shared" si="69"/>
        <v>0.52030735455543364</v>
      </c>
      <c r="Q752" s="27">
        <v>1</v>
      </c>
      <c r="R752" s="44">
        <f t="shared" si="66"/>
        <v>136650</v>
      </c>
      <c r="S752" s="29">
        <v>0.1</v>
      </c>
      <c r="T752" s="44">
        <f t="shared" si="70"/>
        <v>122985</v>
      </c>
      <c r="U752" s="44">
        <f t="shared" si="71"/>
        <v>57435</v>
      </c>
      <c r="V752" s="44"/>
    </row>
    <row r="753" spans="1:22" ht="14.5" x14ac:dyDescent="0.35">
      <c r="A753" s="47" t="str">
        <f t="shared" si="67"/>
        <v>SBY-DY-E1031-2020</v>
      </c>
      <c r="B753" s="26">
        <v>43876</v>
      </c>
      <c r="C753" s="42">
        <v>2020</v>
      </c>
      <c r="D753" s="27" t="s">
        <v>395</v>
      </c>
      <c r="E753" s="27" t="s">
        <v>41</v>
      </c>
      <c r="F753" s="42" t="str" cm="1">
        <f t="array" ref="F753">_xlfn.IFS(E753="Bandung","BDG",E753="Surabaya","SBY",E753="Jakarta","JKT")</f>
        <v>SBY</v>
      </c>
      <c r="G753" s="27" t="s">
        <v>48</v>
      </c>
      <c r="H753" s="27" t="s">
        <v>79</v>
      </c>
      <c r="I753" s="27" t="s">
        <v>39</v>
      </c>
      <c r="J753" s="26" t="s">
        <v>1771</v>
      </c>
      <c r="K753" s="26">
        <v>43880</v>
      </c>
      <c r="L753" s="27">
        <f t="shared" si="68"/>
        <v>4</v>
      </c>
      <c r="M753" s="45">
        <v>19500</v>
      </c>
      <c r="N753" s="45">
        <v>43200</v>
      </c>
      <c r="O753" s="27">
        <v>41</v>
      </c>
      <c r="P753" s="46">
        <f t="shared" si="69"/>
        <v>0.54861111111111116</v>
      </c>
      <c r="Q753" s="27">
        <v>41</v>
      </c>
      <c r="R753" s="44">
        <f t="shared" si="66"/>
        <v>1771200</v>
      </c>
      <c r="S753" s="29">
        <v>0.1</v>
      </c>
      <c r="T753" s="44">
        <f t="shared" si="70"/>
        <v>1594080</v>
      </c>
      <c r="U753" s="44">
        <f t="shared" si="71"/>
        <v>794580</v>
      </c>
      <c r="V753" s="44"/>
    </row>
    <row r="754" spans="1:22" ht="14.5" x14ac:dyDescent="0.35">
      <c r="A754" s="47" t="str">
        <f t="shared" si="67"/>
        <v>JKT-DU-E1029-2017</v>
      </c>
      <c r="B754" s="26">
        <v>42978</v>
      </c>
      <c r="C754" s="42">
        <v>2017</v>
      </c>
      <c r="D754" s="27" t="s">
        <v>419</v>
      </c>
      <c r="E754" s="27" t="s">
        <v>32</v>
      </c>
      <c r="F754" s="42" t="str" cm="1">
        <f t="array" ref="F754">_xlfn.IFS(E754="Bandung","BDG",E754="Surabaya","SBY",E754="Jakarta","JKT")</f>
        <v>JKT</v>
      </c>
      <c r="G754" s="27" t="s">
        <v>37</v>
      </c>
      <c r="H754" s="27" t="s">
        <v>132</v>
      </c>
      <c r="I754" s="27" t="s">
        <v>73</v>
      </c>
      <c r="J754" s="26">
        <v>42744</v>
      </c>
      <c r="K754" s="26">
        <v>42979</v>
      </c>
      <c r="L754" s="27">
        <f t="shared" si="68"/>
        <v>1</v>
      </c>
      <c r="M754" s="45">
        <v>82500</v>
      </c>
      <c r="N754" s="45">
        <v>183300</v>
      </c>
      <c r="O754" s="27">
        <v>33</v>
      </c>
      <c r="P754" s="46">
        <f t="shared" si="69"/>
        <v>0.54991816693944351</v>
      </c>
      <c r="Q754" s="27">
        <v>18</v>
      </c>
      <c r="R754" s="44">
        <f t="shared" si="66"/>
        <v>3299400</v>
      </c>
      <c r="S754" s="29">
        <v>0.04</v>
      </c>
      <c r="T754" s="44">
        <f t="shared" si="70"/>
        <v>3167424</v>
      </c>
      <c r="U754" s="44">
        <f t="shared" si="71"/>
        <v>1682424</v>
      </c>
      <c r="V754" s="44"/>
    </row>
    <row r="755" spans="1:22" ht="14.5" x14ac:dyDescent="0.35">
      <c r="A755" s="47" t="str">
        <f t="shared" si="67"/>
        <v>BDG-DS-E1032-2017</v>
      </c>
      <c r="B755" s="26">
        <v>43008</v>
      </c>
      <c r="C755" s="42">
        <v>2017</v>
      </c>
      <c r="D755" s="27" t="s">
        <v>433</v>
      </c>
      <c r="E755" s="27" t="s">
        <v>136</v>
      </c>
      <c r="F755" s="42" t="str" cm="1">
        <f t="array" ref="F755">_xlfn.IFS(E755="Bandung","BDG",E755="Surabaya","SBY",E755="Jakarta","JKT")</f>
        <v>BDG</v>
      </c>
      <c r="G755" s="27" t="s">
        <v>53</v>
      </c>
      <c r="H755" s="27" t="s">
        <v>43</v>
      </c>
      <c r="I755" s="27" t="s">
        <v>39</v>
      </c>
      <c r="J755" s="26" t="s">
        <v>1633</v>
      </c>
      <c r="K755" s="26">
        <v>43008</v>
      </c>
      <c r="L755" s="27">
        <f t="shared" si="68"/>
        <v>0</v>
      </c>
      <c r="M755" s="45">
        <v>36150</v>
      </c>
      <c r="N755" s="45">
        <v>55650</v>
      </c>
      <c r="O755" s="27">
        <v>39</v>
      </c>
      <c r="P755" s="46">
        <f t="shared" si="69"/>
        <v>0.35040431266846361</v>
      </c>
      <c r="Q755" s="27">
        <v>39</v>
      </c>
      <c r="R755" s="44">
        <f t="shared" si="66"/>
        <v>2170350</v>
      </c>
      <c r="S755" s="29">
        <v>0.06</v>
      </c>
      <c r="T755" s="44">
        <f t="shared" si="70"/>
        <v>2040129</v>
      </c>
      <c r="U755" s="44">
        <f t="shared" si="71"/>
        <v>630279</v>
      </c>
      <c r="V755" s="44"/>
    </row>
    <row r="756" spans="1:22" ht="14.5" x14ac:dyDescent="0.35">
      <c r="A756" s="47" t="str">
        <f t="shared" si="67"/>
        <v>BDG-DS-E1032-2018</v>
      </c>
      <c r="B756" s="26">
        <v>43226</v>
      </c>
      <c r="C756" s="42">
        <v>2018</v>
      </c>
      <c r="D756" s="27" t="s">
        <v>433</v>
      </c>
      <c r="E756" s="27" t="s">
        <v>136</v>
      </c>
      <c r="F756" s="42" t="str" cm="1">
        <f t="array" ref="F756">_xlfn.IFS(E756="Bandung","BDG",E756="Surabaya","SBY",E756="Jakarta","JKT")</f>
        <v>BDG</v>
      </c>
      <c r="G756" s="27" t="s">
        <v>53</v>
      </c>
      <c r="H756" s="27" t="s">
        <v>123</v>
      </c>
      <c r="I756" s="27" t="s">
        <v>35</v>
      </c>
      <c r="J756" s="26">
        <v>43256</v>
      </c>
      <c r="K756" s="26">
        <v>43226</v>
      </c>
      <c r="L756" s="27">
        <f t="shared" si="68"/>
        <v>0</v>
      </c>
      <c r="M756" s="45">
        <v>208200</v>
      </c>
      <c r="N756" s="45">
        <v>335700</v>
      </c>
      <c r="O756" s="27">
        <v>116</v>
      </c>
      <c r="P756" s="46">
        <f t="shared" si="69"/>
        <v>0.37980339588918677</v>
      </c>
      <c r="Q756" s="27">
        <v>42</v>
      </c>
      <c r="R756" s="44">
        <f t="shared" si="66"/>
        <v>14099400</v>
      </c>
      <c r="S756" s="29">
        <v>7.0000000000000007E-2</v>
      </c>
      <c r="T756" s="44">
        <f t="shared" si="70"/>
        <v>13112442</v>
      </c>
      <c r="U756" s="44">
        <f t="shared" si="71"/>
        <v>4368042</v>
      </c>
      <c r="V756" s="44"/>
    </row>
    <row r="757" spans="1:22" ht="14.5" x14ac:dyDescent="0.35">
      <c r="A757" s="47" t="str">
        <f t="shared" si="67"/>
        <v>BDG-DS-E1032-2018</v>
      </c>
      <c r="B757" s="26">
        <v>43226</v>
      </c>
      <c r="C757" s="42">
        <v>2018</v>
      </c>
      <c r="D757" s="27" t="s">
        <v>433</v>
      </c>
      <c r="E757" s="27" t="s">
        <v>136</v>
      </c>
      <c r="F757" s="42" t="str" cm="1">
        <f t="array" ref="F757">_xlfn.IFS(E757="Bandung","BDG",E757="Surabaya","SBY",E757="Jakarta","JKT")</f>
        <v>BDG</v>
      </c>
      <c r="G757" s="27" t="s">
        <v>53</v>
      </c>
      <c r="H757" s="27" t="s">
        <v>119</v>
      </c>
      <c r="I757" s="27" t="s">
        <v>120</v>
      </c>
      <c r="J757" s="26">
        <v>43286</v>
      </c>
      <c r="K757" s="26">
        <v>43227</v>
      </c>
      <c r="L757" s="27">
        <f t="shared" si="68"/>
        <v>1</v>
      </c>
      <c r="M757" s="45">
        <v>132300</v>
      </c>
      <c r="N757" s="45">
        <v>314850</v>
      </c>
      <c r="O757" s="27">
        <v>95</v>
      </c>
      <c r="P757" s="46">
        <f t="shared" si="69"/>
        <v>0.57979990471653164</v>
      </c>
      <c r="Q757" s="27">
        <v>3</v>
      </c>
      <c r="R757" s="44">
        <f t="shared" si="66"/>
        <v>944550</v>
      </c>
      <c r="S757" s="29">
        <v>0.01</v>
      </c>
      <c r="T757" s="44">
        <f t="shared" si="70"/>
        <v>935104.5</v>
      </c>
      <c r="U757" s="44">
        <f t="shared" si="71"/>
        <v>538204.5</v>
      </c>
      <c r="V757" s="44"/>
    </row>
    <row r="758" spans="1:22" ht="14.5" x14ac:dyDescent="0.35">
      <c r="A758" s="47" t="str">
        <f t="shared" si="67"/>
        <v>BDG-DS-E1032-2018</v>
      </c>
      <c r="B758" s="26">
        <v>43226</v>
      </c>
      <c r="C758" s="42">
        <v>2018</v>
      </c>
      <c r="D758" s="27" t="s">
        <v>433</v>
      </c>
      <c r="E758" s="27" t="s">
        <v>136</v>
      </c>
      <c r="F758" s="42" t="str" cm="1">
        <f t="array" ref="F758">_xlfn.IFS(E758="Bandung","BDG",E758="Surabaya","SBY",E758="Jakarta","JKT")</f>
        <v>BDG</v>
      </c>
      <c r="G758" s="27" t="s">
        <v>53</v>
      </c>
      <c r="H758" s="27" t="s">
        <v>99</v>
      </c>
      <c r="I758" s="27" t="s">
        <v>35</v>
      </c>
      <c r="J758" s="26">
        <v>43228</v>
      </c>
      <c r="K758" s="26">
        <v>43317</v>
      </c>
      <c r="L758" s="27">
        <f t="shared" si="68"/>
        <v>91</v>
      </c>
      <c r="M758" s="45">
        <v>95850</v>
      </c>
      <c r="N758" s="45">
        <v>299700</v>
      </c>
      <c r="O758" s="27">
        <v>184</v>
      </c>
      <c r="P758" s="46">
        <f t="shared" si="69"/>
        <v>0.68018018018018023</v>
      </c>
      <c r="Q758" s="27">
        <v>45</v>
      </c>
      <c r="R758" s="44">
        <f t="shared" si="66"/>
        <v>13486500</v>
      </c>
      <c r="S758" s="29">
        <v>0.06</v>
      </c>
      <c r="T758" s="44">
        <f t="shared" si="70"/>
        <v>12677310</v>
      </c>
      <c r="U758" s="44">
        <f t="shared" si="71"/>
        <v>8364060</v>
      </c>
      <c r="V758" s="44"/>
    </row>
    <row r="759" spans="1:22" ht="14.5" x14ac:dyDescent="0.35">
      <c r="A759" s="47" t="str">
        <f t="shared" si="67"/>
        <v>BDG-DS-E1032-2019</v>
      </c>
      <c r="B759" s="26">
        <v>43629</v>
      </c>
      <c r="C759" s="42">
        <v>2019</v>
      </c>
      <c r="D759" s="27" t="s">
        <v>433</v>
      </c>
      <c r="E759" s="27" t="s">
        <v>136</v>
      </c>
      <c r="F759" s="42" t="str" cm="1">
        <f t="array" ref="F759">_xlfn.IFS(E759="Bandung","BDG",E759="Surabaya","SBY",E759="Jakarta","JKT")</f>
        <v>BDG</v>
      </c>
      <c r="G759" s="27" t="s">
        <v>53</v>
      </c>
      <c r="H759" s="27" t="s">
        <v>58</v>
      </c>
      <c r="I759" s="27" t="s">
        <v>35</v>
      </c>
      <c r="J759" s="26">
        <v>43629</v>
      </c>
      <c r="K759" s="26">
        <v>43629</v>
      </c>
      <c r="L759" s="27">
        <f t="shared" si="68"/>
        <v>0</v>
      </c>
      <c r="M759" s="45">
        <v>814350</v>
      </c>
      <c r="N759" s="45">
        <v>1357200</v>
      </c>
      <c r="O759" s="27">
        <v>43</v>
      </c>
      <c r="P759" s="46">
        <f t="shared" si="69"/>
        <v>0.39997789566755082</v>
      </c>
      <c r="Q759" s="27">
        <v>16</v>
      </c>
      <c r="R759" s="44">
        <f t="shared" si="66"/>
        <v>21715200</v>
      </c>
      <c r="S759" s="29">
        <v>0</v>
      </c>
      <c r="T759" s="44">
        <f t="shared" si="70"/>
        <v>21715200</v>
      </c>
      <c r="U759" s="44">
        <f t="shared" si="71"/>
        <v>8685600</v>
      </c>
      <c r="V759" s="44"/>
    </row>
    <row r="760" spans="1:22" ht="14.5" x14ac:dyDescent="0.35">
      <c r="A760" s="47" t="str">
        <f t="shared" si="67"/>
        <v>BDG-DS-E1032-2019</v>
      </c>
      <c r="B760" s="26">
        <v>43721</v>
      </c>
      <c r="C760" s="42">
        <v>2019</v>
      </c>
      <c r="D760" s="27" t="s">
        <v>433</v>
      </c>
      <c r="E760" s="27" t="s">
        <v>136</v>
      </c>
      <c r="F760" s="42" t="str" cm="1">
        <f t="array" ref="F760">_xlfn.IFS(E760="Bandung","BDG",E760="Surabaya","SBY",E760="Jakarta","JKT")</f>
        <v>BDG</v>
      </c>
      <c r="G760" s="27" t="s">
        <v>53</v>
      </c>
      <c r="H760" s="27" t="s">
        <v>445</v>
      </c>
      <c r="I760" s="27" t="s">
        <v>35</v>
      </c>
      <c r="J760" s="26" t="s">
        <v>1743</v>
      </c>
      <c r="K760" s="26">
        <v>43724</v>
      </c>
      <c r="L760" s="27">
        <f t="shared" si="68"/>
        <v>3</v>
      </c>
      <c r="M760" s="45">
        <v>220500</v>
      </c>
      <c r="N760" s="45">
        <v>449850</v>
      </c>
      <c r="O760" s="27">
        <v>32</v>
      </c>
      <c r="P760" s="46">
        <f t="shared" si="69"/>
        <v>0.50983661220406806</v>
      </c>
      <c r="Q760" s="27">
        <v>1</v>
      </c>
      <c r="R760" s="44">
        <f t="shared" si="66"/>
        <v>449850</v>
      </c>
      <c r="S760" s="29">
        <v>0.04</v>
      </c>
      <c r="T760" s="44">
        <f t="shared" si="70"/>
        <v>431856</v>
      </c>
      <c r="U760" s="44">
        <f t="shared" si="71"/>
        <v>211356</v>
      </c>
      <c r="V760" s="44"/>
    </row>
    <row r="761" spans="1:22" ht="14.5" x14ac:dyDescent="0.35">
      <c r="A761" s="47" t="str">
        <f t="shared" si="67"/>
        <v>JKT-DS-E1029-2017</v>
      </c>
      <c r="B761" s="26">
        <v>42831</v>
      </c>
      <c r="C761" s="42">
        <v>2017</v>
      </c>
      <c r="D761" s="27" t="s">
        <v>335</v>
      </c>
      <c r="E761" s="27" t="s">
        <v>32</v>
      </c>
      <c r="F761" s="42" t="str" cm="1">
        <f t="array" ref="F761">_xlfn.IFS(E761="Bandung","BDG",E761="Surabaya","SBY",E761="Jakarta","JKT")</f>
        <v>JKT</v>
      </c>
      <c r="G761" s="27" t="s">
        <v>37</v>
      </c>
      <c r="H761" s="27" t="s">
        <v>336</v>
      </c>
      <c r="I761" s="27" t="s">
        <v>35</v>
      </c>
      <c r="J761" s="26">
        <v>42831</v>
      </c>
      <c r="K761" s="26">
        <v>42890</v>
      </c>
      <c r="L761" s="27">
        <f t="shared" si="68"/>
        <v>59</v>
      </c>
      <c r="M761" s="45">
        <v>47100</v>
      </c>
      <c r="N761" s="45">
        <v>73650</v>
      </c>
      <c r="O761" s="27">
        <v>12</v>
      </c>
      <c r="P761" s="46">
        <f t="shared" si="69"/>
        <v>0.3604887983706721</v>
      </c>
      <c r="Q761" s="27">
        <v>12</v>
      </c>
      <c r="R761" s="44">
        <f t="shared" si="66"/>
        <v>883800</v>
      </c>
      <c r="S761" s="29">
        <v>0.04</v>
      </c>
      <c r="T761" s="44">
        <f t="shared" si="70"/>
        <v>848448</v>
      </c>
      <c r="U761" s="44">
        <f t="shared" si="71"/>
        <v>283248</v>
      </c>
      <c r="V761" s="44"/>
    </row>
    <row r="762" spans="1:22" ht="14.5" x14ac:dyDescent="0.35">
      <c r="A762" s="47" t="str">
        <f t="shared" si="67"/>
        <v>SBY-DS-E1031-2019</v>
      </c>
      <c r="B762" s="26">
        <v>43719</v>
      </c>
      <c r="C762" s="42">
        <v>2019</v>
      </c>
      <c r="D762" s="27" t="s">
        <v>691</v>
      </c>
      <c r="E762" s="27" t="s">
        <v>41</v>
      </c>
      <c r="F762" s="42" t="str" cm="1">
        <f t="array" ref="F762">_xlfn.IFS(E762="Bandung","BDG",E762="Surabaya","SBY",E762="Jakarta","JKT")</f>
        <v>SBY</v>
      </c>
      <c r="G762" s="27" t="s">
        <v>48</v>
      </c>
      <c r="H762" s="27" t="s">
        <v>276</v>
      </c>
      <c r="I762" s="27" t="s">
        <v>35</v>
      </c>
      <c r="J762" s="26">
        <v>43720</v>
      </c>
      <c r="K762" s="26">
        <v>43808</v>
      </c>
      <c r="L762" s="27">
        <f t="shared" si="68"/>
        <v>89</v>
      </c>
      <c r="M762" s="45">
        <v>224250</v>
      </c>
      <c r="N762" s="45">
        <v>521399.99999999994</v>
      </c>
      <c r="O762" s="27">
        <v>40</v>
      </c>
      <c r="P762" s="46">
        <f t="shared" si="69"/>
        <v>0.56990794016110469</v>
      </c>
      <c r="Q762" s="27">
        <v>32</v>
      </c>
      <c r="R762" s="44">
        <f t="shared" si="66"/>
        <v>16684799.999999998</v>
      </c>
      <c r="S762" s="29">
        <v>0.02</v>
      </c>
      <c r="T762" s="44">
        <f t="shared" si="70"/>
        <v>16351103.999999998</v>
      </c>
      <c r="U762" s="44">
        <f t="shared" si="71"/>
        <v>9175103.9999999981</v>
      </c>
      <c r="V762" s="44"/>
    </row>
    <row r="763" spans="1:22" ht="14.5" x14ac:dyDescent="0.35">
      <c r="A763" s="47" t="str">
        <f t="shared" si="67"/>
        <v>SBY-DM-E1031-2019</v>
      </c>
      <c r="B763" s="26">
        <v>43478</v>
      </c>
      <c r="C763" s="42">
        <v>2019</v>
      </c>
      <c r="D763" s="27" t="s">
        <v>631</v>
      </c>
      <c r="E763" s="27" t="s">
        <v>41</v>
      </c>
      <c r="F763" s="42" t="str" cm="1">
        <f t="array" ref="F763">_xlfn.IFS(E763="Bandung","BDG",E763="Surabaya","SBY",E763="Jakarta","JKT")</f>
        <v>SBY</v>
      </c>
      <c r="G763" s="27" t="s">
        <v>48</v>
      </c>
      <c r="H763" s="27" t="s">
        <v>400</v>
      </c>
      <c r="I763" s="27" t="s">
        <v>39</v>
      </c>
      <c r="J763" s="26">
        <v>43487</v>
      </c>
      <c r="K763" s="26">
        <v>43487</v>
      </c>
      <c r="L763" s="27">
        <f t="shared" si="68"/>
        <v>9</v>
      </c>
      <c r="M763" s="45">
        <v>15750</v>
      </c>
      <c r="N763" s="45">
        <v>29250</v>
      </c>
      <c r="O763" s="27">
        <v>47</v>
      </c>
      <c r="P763" s="46">
        <f t="shared" si="69"/>
        <v>0.46153846153846156</v>
      </c>
      <c r="Q763" s="27">
        <v>4</v>
      </c>
      <c r="R763" s="44">
        <f t="shared" si="66"/>
        <v>117000</v>
      </c>
      <c r="S763" s="29">
        <v>0.09</v>
      </c>
      <c r="T763" s="44">
        <f t="shared" si="70"/>
        <v>106470</v>
      </c>
      <c r="U763" s="44">
        <f t="shared" si="71"/>
        <v>43470</v>
      </c>
      <c r="V763" s="44"/>
    </row>
    <row r="764" spans="1:22" ht="14.5" x14ac:dyDescent="0.35">
      <c r="A764" s="47" t="str">
        <f t="shared" si="67"/>
        <v>JKT-DH-E1029-2018</v>
      </c>
      <c r="B764" s="26">
        <v>43105</v>
      </c>
      <c r="C764" s="42">
        <v>2018</v>
      </c>
      <c r="D764" s="27" t="s">
        <v>483</v>
      </c>
      <c r="E764" s="27" t="s">
        <v>32</v>
      </c>
      <c r="F764" s="42" t="str" cm="1">
        <f t="array" ref="F764">_xlfn.IFS(E764="Bandung","BDG",E764="Surabaya","SBY",E764="Jakarta","JKT")</f>
        <v>JKT</v>
      </c>
      <c r="G764" s="27" t="s">
        <v>37</v>
      </c>
      <c r="H764" s="27" t="s">
        <v>199</v>
      </c>
      <c r="I764" s="27" t="s">
        <v>39</v>
      </c>
      <c r="J764" s="26">
        <v>43107</v>
      </c>
      <c r="K764" s="26">
        <v>43282</v>
      </c>
      <c r="L764" s="27">
        <f t="shared" si="68"/>
        <v>177</v>
      </c>
      <c r="M764" s="45">
        <v>65550</v>
      </c>
      <c r="N764" s="45">
        <v>136650</v>
      </c>
      <c r="O764" s="27">
        <v>48</v>
      </c>
      <c r="P764" s="46">
        <f t="shared" si="69"/>
        <v>0.52030735455543364</v>
      </c>
      <c r="Q764" s="27">
        <v>48</v>
      </c>
      <c r="R764" s="44">
        <f t="shared" si="66"/>
        <v>6559200</v>
      </c>
      <c r="S764" s="29">
        <v>0.06</v>
      </c>
      <c r="T764" s="44">
        <f t="shared" si="70"/>
        <v>6165648</v>
      </c>
      <c r="U764" s="44">
        <f t="shared" si="71"/>
        <v>3019248</v>
      </c>
      <c r="V764" s="44"/>
    </row>
    <row r="765" spans="1:22" ht="14.5" x14ac:dyDescent="0.35">
      <c r="A765" s="47" t="str">
        <f t="shared" si="67"/>
        <v>JKT-DH-E1029-2018</v>
      </c>
      <c r="B765" s="26">
        <v>43115</v>
      </c>
      <c r="C765" s="42">
        <v>2018</v>
      </c>
      <c r="D765" s="27" t="s">
        <v>483</v>
      </c>
      <c r="E765" s="27" t="s">
        <v>32</v>
      </c>
      <c r="F765" s="42" t="str" cm="1">
        <f t="array" ref="F765">_xlfn.IFS(E765="Bandung","BDG",E765="Surabaya","SBY",E765="Jakarta","JKT")</f>
        <v>JKT</v>
      </c>
      <c r="G765" s="27" t="s">
        <v>37</v>
      </c>
      <c r="H765" s="27" t="s">
        <v>69</v>
      </c>
      <c r="I765" s="27" t="s">
        <v>39</v>
      </c>
      <c r="J765" s="26" t="s">
        <v>1649</v>
      </c>
      <c r="K765" s="26">
        <v>43117</v>
      </c>
      <c r="L765" s="27">
        <f t="shared" si="68"/>
        <v>2</v>
      </c>
      <c r="M765" s="45">
        <v>10650</v>
      </c>
      <c r="N765" s="45">
        <v>17100</v>
      </c>
      <c r="O765" s="27">
        <v>105</v>
      </c>
      <c r="P765" s="46">
        <f t="shared" si="69"/>
        <v>0.37719298245614036</v>
      </c>
      <c r="Q765" s="27">
        <v>4</v>
      </c>
      <c r="R765" s="44">
        <f t="shared" si="66"/>
        <v>68400</v>
      </c>
      <c r="S765" s="29">
        <v>0</v>
      </c>
      <c r="T765" s="44">
        <f t="shared" si="70"/>
        <v>68400</v>
      </c>
      <c r="U765" s="44">
        <f t="shared" si="71"/>
        <v>25800</v>
      </c>
      <c r="V765" s="44"/>
    </row>
    <row r="766" spans="1:22" ht="14.5" x14ac:dyDescent="0.35">
      <c r="A766" s="47" t="str">
        <f t="shared" si="67"/>
        <v>JKT-DH-E1029-2018</v>
      </c>
      <c r="B766" s="26">
        <v>43356</v>
      </c>
      <c r="C766" s="42">
        <v>2018</v>
      </c>
      <c r="D766" s="27" t="s">
        <v>483</v>
      </c>
      <c r="E766" s="27" t="s">
        <v>32</v>
      </c>
      <c r="F766" s="42" t="str" cm="1">
        <f t="array" ref="F766">_xlfn.IFS(E766="Bandung","BDG",E766="Surabaya","SBY",E766="Jakarta","JKT")</f>
        <v>JKT</v>
      </c>
      <c r="G766" s="27" t="s">
        <v>37</v>
      </c>
      <c r="H766" s="27" t="s">
        <v>376</v>
      </c>
      <c r="I766" s="27" t="s">
        <v>73</v>
      </c>
      <c r="J766" s="26" t="s">
        <v>1692</v>
      </c>
      <c r="K766" s="26">
        <v>43361</v>
      </c>
      <c r="L766" s="27">
        <f t="shared" si="68"/>
        <v>5</v>
      </c>
      <c r="M766" s="45">
        <v>62850.000000000007</v>
      </c>
      <c r="N766" s="45">
        <v>153450</v>
      </c>
      <c r="O766" s="27">
        <v>106</v>
      </c>
      <c r="P766" s="46">
        <f t="shared" si="69"/>
        <v>0.59042033235581626</v>
      </c>
      <c r="Q766" s="27">
        <v>35</v>
      </c>
      <c r="R766" s="44">
        <f t="shared" si="66"/>
        <v>5370750</v>
      </c>
      <c r="S766" s="29">
        <v>0.01</v>
      </c>
      <c r="T766" s="44">
        <f t="shared" si="70"/>
        <v>5317042.5</v>
      </c>
      <c r="U766" s="44">
        <f t="shared" si="71"/>
        <v>3117292.4999999995</v>
      </c>
      <c r="V766" s="44"/>
    </row>
    <row r="767" spans="1:22" ht="14.5" x14ac:dyDescent="0.35">
      <c r="A767" s="47" t="str">
        <f t="shared" si="67"/>
        <v>SBY-DS-E1032-2017</v>
      </c>
      <c r="B767" s="26">
        <v>42767</v>
      </c>
      <c r="C767" s="42">
        <v>2017</v>
      </c>
      <c r="D767" s="27" t="s">
        <v>290</v>
      </c>
      <c r="E767" s="27" t="s">
        <v>41</v>
      </c>
      <c r="F767" s="42" t="str" cm="1">
        <f t="array" ref="F767">_xlfn.IFS(E767="Bandung","BDG",E767="Surabaya","SBY",E767="Jakarta","JKT")</f>
        <v>SBY</v>
      </c>
      <c r="G767" s="27" t="s">
        <v>53</v>
      </c>
      <c r="H767" s="27" t="s">
        <v>214</v>
      </c>
      <c r="I767" s="27" t="s">
        <v>35</v>
      </c>
      <c r="J767" s="26">
        <v>42768</v>
      </c>
      <c r="K767" s="26">
        <v>42768</v>
      </c>
      <c r="L767" s="27">
        <f t="shared" si="68"/>
        <v>1</v>
      </c>
      <c r="M767" s="45">
        <v>54750</v>
      </c>
      <c r="N767" s="45">
        <v>89700</v>
      </c>
      <c r="O767" s="27">
        <v>111</v>
      </c>
      <c r="P767" s="46">
        <f t="shared" si="69"/>
        <v>0.38963210702341139</v>
      </c>
      <c r="Q767" s="27">
        <v>21</v>
      </c>
      <c r="R767" s="44">
        <f t="shared" si="66"/>
        <v>1883700</v>
      </c>
      <c r="S767" s="29">
        <v>0.02</v>
      </c>
      <c r="T767" s="44">
        <f t="shared" si="70"/>
        <v>1846026</v>
      </c>
      <c r="U767" s="44">
        <f t="shared" si="71"/>
        <v>696276</v>
      </c>
      <c r="V767" s="44"/>
    </row>
    <row r="768" spans="1:22" ht="14.5" x14ac:dyDescent="0.35">
      <c r="A768" s="47" t="str">
        <f t="shared" si="67"/>
        <v>SBY-DS-E1032-2019</v>
      </c>
      <c r="B768" s="26">
        <v>43588</v>
      </c>
      <c r="C768" s="42">
        <v>2019</v>
      </c>
      <c r="D768" s="27" t="s">
        <v>290</v>
      </c>
      <c r="E768" s="27" t="s">
        <v>41</v>
      </c>
      <c r="F768" s="42" t="str" cm="1">
        <f t="array" ref="F768">_xlfn.IFS(E768="Bandung","BDG",E768="Surabaya","SBY",E768="Jakarta","JKT")</f>
        <v>SBY</v>
      </c>
      <c r="G768" s="27" t="s">
        <v>53</v>
      </c>
      <c r="H768" s="27" t="s">
        <v>216</v>
      </c>
      <c r="I768" s="27" t="s">
        <v>35</v>
      </c>
      <c r="J768" s="26">
        <v>43588</v>
      </c>
      <c r="K768" s="26">
        <v>43529</v>
      </c>
      <c r="L768" s="27">
        <f t="shared" si="68"/>
        <v>-59</v>
      </c>
      <c r="M768" s="45">
        <v>66900</v>
      </c>
      <c r="N768" s="45">
        <v>163350</v>
      </c>
      <c r="O768" s="27">
        <v>63</v>
      </c>
      <c r="P768" s="46">
        <f t="shared" si="69"/>
        <v>0.59044995408631773</v>
      </c>
      <c r="Q768" s="27">
        <v>25</v>
      </c>
      <c r="R768" s="44">
        <f t="shared" si="66"/>
        <v>4083750</v>
      </c>
      <c r="S768" s="29">
        <v>0.03</v>
      </c>
      <c r="T768" s="44">
        <f t="shared" si="70"/>
        <v>3961237.5</v>
      </c>
      <c r="U768" s="44">
        <f t="shared" si="71"/>
        <v>2288737.5</v>
      </c>
      <c r="V768" s="44"/>
    </row>
    <row r="769" spans="1:22" ht="14.5" x14ac:dyDescent="0.35">
      <c r="A769" s="47" t="str">
        <f t="shared" si="67"/>
        <v>BDG-DP-E1033-2017</v>
      </c>
      <c r="B769" s="26">
        <v>43085</v>
      </c>
      <c r="C769" s="42">
        <v>2017</v>
      </c>
      <c r="D769" s="27" t="s">
        <v>478</v>
      </c>
      <c r="E769" s="27" t="s">
        <v>136</v>
      </c>
      <c r="F769" s="42" t="str" cm="1">
        <f t="array" ref="F769">_xlfn.IFS(E769="Bandung","BDG",E769="Surabaya","SBY",E769="Jakarta","JKT")</f>
        <v>BDG</v>
      </c>
      <c r="G769" s="27" t="s">
        <v>60</v>
      </c>
      <c r="H769" s="27" t="s">
        <v>212</v>
      </c>
      <c r="I769" s="27" t="s">
        <v>39</v>
      </c>
      <c r="J769" s="26">
        <v>43092</v>
      </c>
      <c r="K769" s="26">
        <v>43092</v>
      </c>
      <c r="L769" s="27">
        <f t="shared" si="68"/>
        <v>7</v>
      </c>
      <c r="M769" s="45">
        <v>44700</v>
      </c>
      <c r="N769" s="45">
        <v>87600</v>
      </c>
      <c r="O769" s="27">
        <v>45</v>
      </c>
      <c r="P769" s="46">
        <f t="shared" si="69"/>
        <v>0.48972602739726029</v>
      </c>
      <c r="Q769" s="27">
        <v>22</v>
      </c>
      <c r="R769" s="44">
        <f t="shared" si="66"/>
        <v>1927200</v>
      </c>
      <c r="S769" s="29">
        <v>0.1</v>
      </c>
      <c r="T769" s="44">
        <f t="shared" si="70"/>
        <v>1734480</v>
      </c>
      <c r="U769" s="44">
        <f t="shared" si="71"/>
        <v>751080</v>
      </c>
      <c r="V769" s="44"/>
    </row>
    <row r="770" spans="1:22" ht="14.5" x14ac:dyDescent="0.35">
      <c r="A770" s="47" t="str">
        <f t="shared" si="67"/>
        <v>BDG-DP-E1033-2019</v>
      </c>
      <c r="B770" s="26">
        <v>43768</v>
      </c>
      <c r="C770" s="42">
        <v>2019</v>
      </c>
      <c r="D770" s="27" t="s">
        <v>478</v>
      </c>
      <c r="E770" s="27" t="s">
        <v>136</v>
      </c>
      <c r="F770" s="42" t="str" cm="1">
        <f t="array" ref="F770">_xlfn.IFS(E770="Bandung","BDG",E770="Surabaya","SBY",E770="Jakarta","JKT")</f>
        <v>BDG</v>
      </c>
      <c r="G770" s="27" t="s">
        <v>60</v>
      </c>
      <c r="H770" s="27" t="s">
        <v>326</v>
      </c>
      <c r="I770" s="27" t="s">
        <v>39</v>
      </c>
      <c r="J770" s="26" t="s">
        <v>1758</v>
      </c>
      <c r="K770" s="26">
        <v>43769</v>
      </c>
      <c r="L770" s="27">
        <f t="shared" si="68"/>
        <v>1</v>
      </c>
      <c r="M770" s="45">
        <v>13950</v>
      </c>
      <c r="N770" s="45">
        <v>24000</v>
      </c>
      <c r="O770" s="27">
        <v>39</v>
      </c>
      <c r="P770" s="46">
        <f t="shared" si="69"/>
        <v>0.41875000000000001</v>
      </c>
      <c r="Q770" s="27">
        <v>39</v>
      </c>
      <c r="R770" s="44">
        <f t="shared" si="66"/>
        <v>936000</v>
      </c>
      <c r="S770" s="29">
        <v>0.1</v>
      </c>
      <c r="T770" s="44">
        <f t="shared" si="70"/>
        <v>842400</v>
      </c>
      <c r="U770" s="44">
        <f t="shared" si="71"/>
        <v>298350</v>
      </c>
      <c r="V770" s="44"/>
    </row>
    <row r="771" spans="1:22" ht="14.5" x14ac:dyDescent="0.35">
      <c r="A771" s="47" t="str">
        <f t="shared" si="67"/>
        <v>JKT-DM-E1029-2017</v>
      </c>
      <c r="B771" s="26">
        <v>42852</v>
      </c>
      <c r="C771" s="42">
        <v>2017</v>
      </c>
      <c r="D771" s="27" t="s">
        <v>346</v>
      </c>
      <c r="E771" s="27" t="s">
        <v>32</v>
      </c>
      <c r="F771" s="42" t="str" cm="1">
        <f t="array" ref="F771">_xlfn.IFS(E771="Bandung","BDG",E771="Surabaya","SBY",E771="Jakarta","JKT")</f>
        <v>JKT</v>
      </c>
      <c r="G771" s="27" t="s">
        <v>37</v>
      </c>
      <c r="H771" s="27" t="s">
        <v>196</v>
      </c>
      <c r="I771" s="27" t="s">
        <v>35</v>
      </c>
      <c r="J771" s="26">
        <v>42857</v>
      </c>
      <c r="K771" s="26">
        <v>42771</v>
      </c>
      <c r="L771" s="27">
        <f t="shared" si="68"/>
        <v>-81</v>
      </c>
      <c r="M771" s="45">
        <v>323400</v>
      </c>
      <c r="N771" s="45">
        <v>539100</v>
      </c>
      <c r="O771" s="27">
        <v>32</v>
      </c>
      <c r="P771" s="46">
        <f t="shared" si="69"/>
        <v>0.40011129660545353</v>
      </c>
      <c r="Q771" s="27">
        <v>13</v>
      </c>
      <c r="R771" s="44">
        <f t="shared" si="66"/>
        <v>7008300</v>
      </c>
      <c r="S771" s="29">
        <v>0.09</v>
      </c>
      <c r="T771" s="44">
        <f t="shared" si="70"/>
        <v>6377553</v>
      </c>
      <c r="U771" s="44">
        <f t="shared" si="71"/>
        <v>2173353</v>
      </c>
      <c r="V771" s="44"/>
    </row>
    <row r="772" spans="1:22" ht="14.5" x14ac:dyDescent="0.35">
      <c r="A772" s="47" t="str">
        <f t="shared" si="67"/>
        <v>JKT-DM-E1029-2020</v>
      </c>
      <c r="B772" s="26">
        <v>43833</v>
      </c>
      <c r="C772" s="42">
        <v>2020</v>
      </c>
      <c r="D772" s="27" t="s">
        <v>346</v>
      </c>
      <c r="E772" s="27" t="s">
        <v>32</v>
      </c>
      <c r="F772" s="42" t="str" cm="1">
        <f t="array" ref="F772">_xlfn.IFS(E772="Bandung","BDG",E772="Surabaya","SBY",E772="Jakarta","JKT")</f>
        <v>JKT</v>
      </c>
      <c r="G772" s="27" t="s">
        <v>37</v>
      </c>
      <c r="H772" s="27" t="s">
        <v>107</v>
      </c>
      <c r="I772" s="27" t="s">
        <v>73</v>
      </c>
      <c r="J772" s="26">
        <v>43833</v>
      </c>
      <c r="K772" s="26">
        <v>43891</v>
      </c>
      <c r="L772" s="27">
        <f t="shared" si="68"/>
        <v>58</v>
      </c>
      <c r="M772" s="45">
        <v>71850</v>
      </c>
      <c r="N772" s="45">
        <v>179550</v>
      </c>
      <c r="O772" s="27">
        <v>64</v>
      </c>
      <c r="P772" s="46">
        <f t="shared" si="69"/>
        <v>0.59983291562238927</v>
      </c>
      <c r="Q772" s="27">
        <v>38</v>
      </c>
      <c r="R772" s="44">
        <f t="shared" ref="R772:R835" si="72">N772*Q772</f>
        <v>6822900</v>
      </c>
      <c r="S772" s="29">
        <v>0.02</v>
      </c>
      <c r="T772" s="44">
        <f t="shared" si="70"/>
        <v>6686442</v>
      </c>
      <c r="U772" s="44">
        <f t="shared" si="71"/>
        <v>3956142</v>
      </c>
      <c r="V772" s="44"/>
    </row>
    <row r="773" spans="1:22" ht="14.5" x14ac:dyDescent="0.35">
      <c r="A773" s="47" t="str">
        <f t="shared" ref="A773:A836" si="73">_xlfn.CONCAT(F773,"-",LEFT(D773,1),MID(D773,FIND(" ",D773)+1,1),"-",G773,"-",C773)</f>
        <v>SBY-DI-E1036-2019</v>
      </c>
      <c r="B773" s="26">
        <v>43474</v>
      </c>
      <c r="C773" s="42">
        <v>2019</v>
      </c>
      <c r="D773" s="27" t="s">
        <v>629</v>
      </c>
      <c r="E773" s="27" t="s">
        <v>41</v>
      </c>
      <c r="F773" s="42" t="str" cm="1">
        <f t="array" ref="F773">_xlfn.IFS(E773="Bandung","BDG",E773="Surabaya","SBY",E773="Jakarta","JKT")</f>
        <v>SBY</v>
      </c>
      <c r="G773" s="27" t="s">
        <v>78</v>
      </c>
      <c r="H773" s="27" t="s">
        <v>150</v>
      </c>
      <c r="I773" s="27" t="s">
        <v>35</v>
      </c>
      <c r="J773" s="26">
        <v>43770</v>
      </c>
      <c r="K773" s="26">
        <v>43476</v>
      </c>
      <c r="L773" s="27">
        <f t="shared" ref="L773:L836" si="74">K773-B773</f>
        <v>2</v>
      </c>
      <c r="M773" s="45">
        <v>185850</v>
      </c>
      <c r="N773" s="45">
        <v>299700</v>
      </c>
      <c r="O773" s="27">
        <v>68</v>
      </c>
      <c r="P773" s="46">
        <f t="shared" ref="P773:P836" si="75">(N773-M773)/N773</f>
        <v>0.37987987987987987</v>
      </c>
      <c r="Q773" s="27">
        <v>20</v>
      </c>
      <c r="R773" s="44">
        <f t="shared" si="72"/>
        <v>5994000</v>
      </c>
      <c r="S773" s="29">
        <v>0.05</v>
      </c>
      <c r="T773" s="44">
        <f t="shared" ref="T773:T836" si="76">R773*(1-S773)</f>
        <v>5694300</v>
      </c>
      <c r="U773" s="44">
        <f t="shared" ref="U773:U836" si="77">T773-(M773*Q773)</f>
        <v>1977300</v>
      </c>
      <c r="V773" s="44"/>
    </row>
    <row r="774" spans="1:22" ht="14.5" x14ac:dyDescent="0.35">
      <c r="A774" s="47" t="str">
        <f t="shared" si="73"/>
        <v>JKT-DH-E1028-2016</v>
      </c>
      <c r="B774" s="26">
        <v>42692</v>
      </c>
      <c r="C774" s="42">
        <v>2016</v>
      </c>
      <c r="D774" s="27" t="s">
        <v>228</v>
      </c>
      <c r="E774" s="27" t="s">
        <v>32</v>
      </c>
      <c r="F774" s="42" t="str" cm="1">
        <f t="array" ref="F774">_xlfn.IFS(E774="Bandung","BDG",E774="Surabaya","SBY",E774="Jakarta","JKT")</f>
        <v>JKT</v>
      </c>
      <c r="G774" s="27" t="s">
        <v>33</v>
      </c>
      <c r="H774" s="27" t="s">
        <v>229</v>
      </c>
      <c r="I774" s="27" t="s">
        <v>35</v>
      </c>
      <c r="J774" s="26">
        <v>42694</v>
      </c>
      <c r="K774" s="26">
        <v>42694</v>
      </c>
      <c r="L774" s="27">
        <f t="shared" si="74"/>
        <v>2</v>
      </c>
      <c r="M774" s="45">
        <v>33900</v>
      </c>
      <c r="N774" s="45">
        <v>53700</v>
      </c>
      <c r="O774" s="27">
        <v>107</v>
      </c>
      <c r="P774" s="46">
        <f t="shared" si="75"/>
        <v>0.36871508379888268</v>
      </c>
      <c r="Q774" s="27">
        <v>46</v>
      </c>
      <c r="R774" s="44">
        <f t="shared" si="72"/>
        <v>2470200</v>
      </c>
      <c r="S774" s="29">
        <v>0.06</v>
      </c>
      <c r="T774" s="44">
        <f t="shared" si="76"/>
        <v>2321988</v>
      </c>
      <c r="U774" s="44">
        <f t="shared" si="77"/>
        <v>762588</v>
      </c>
      <c r="V774" s="44"/>
    </row>
    <row r="775" spans="1:22" ht="14.5" x14ac:dyDescent="0.35">
      <c r="A775" s="47" t="str">
        <f t="shared" si="73"/>
        <v>JKT-DR-E1028-2018</v>
      </c>
      <c r="B775" s="26">
        <v>43177</v>
      </c>
      <c r="C775" s="42">
        <v>2018</v>
      </c>
      <c r="D775" s="27" t="s">
        <v>513</v>
      </c>
      <c r="E775" s="27" t="s">
        <v>32</v>
      </c>
      <c r="F775" s="42" t="str" cm="1">
        <f t="array" ref="F775">_xlfn.IFS(E775="Bandung","BDG",E775="Surabaya","SBY",E775="Jakarta","JKT")</f>
        <v>JKT</v>
      </c>
      <c r="G775" s="27" t="s">
        <v>33</v>
      </c>
      <c r="H775" s="27" t="s">
        <v>276</v>
      </c>
      <c r="I775" s="27" t="s">
        <v>35</v>
      </c>
      <c r="J775" s="26">
        <v>43178</v>
      </c>
      <c r="K775" s="26">
        <v>43178</v>
      </c>
      <c r="L775" s="27">
        <f t="shared" si="74"/>
        <v>1</v>
      </c>
      <c r="M775" s="45">
        <v>224250</v>
      </c>
      <c r="N775" s="45">
        <v>521399.99999999994</v>
      </c>
      <c r="O775" s="27">
        <v>8</v>
      </c>
      <c r="P775" s="46">
        <f t="shared" si="75"/>
        <v>0.56990794016110469</v>
      </c>
      <c r="Q775" s="27">
        <v>8</v>
      </c>
      <c r="R775" s="44">
        <f t="shared" si="72"/>
        <v>4171199.9999999995</v>
      </c>
      <c r="S775" s="29">
        <v>7.0000000000000007E-2</v>
      </c>
      <c r="T775" s="44">
        <f t="shared" si="76"/>
        <v>3879215.9999999995</v>
      </c>
      <c r="U775" s="44">
        <f t="shared" si="77"/>
        <v>2085215.9999999995</v>
      </c>
      <c r="V775" s="44"/>
    </row>
    <row r="776" spans="1:22" ht="14.5" x14ac:dyDescent="0.35">
      <c r="A776" s="47" t="str">
        <f t="shared" si="73"/>
        <v>JKT-DR-E1028-2018</v>
      </c>
      <c r="B776" s="26">
        <v>43288</v>
      </c>
      <c r="C776" s="42">
        <v>2018</v>
      </c>
      <c r="D776" s="27" t="s">
        <v>513</v>
      </c>
      <c r="E776" s="27" t="s">
        <v>32</v>
      </c>
      <c r="F776" s="42" t="str" cm="1">
        <f t="array" ref="F776">_xlfn.IFS(E776="Bandung","BDG",E776="Surabaya","SBY",E776="Jakarta","JKT")</f>
        <v>JKT</v>
      </c>
      <c r="G776" s="27" t="s">
        <v>33</v>
      </c>
      <c r="H776" s="27" t="s">
        <v>119</v>
      </c>
      <c r="I776" s="27" t="s">
        <v>120</v>
      </c>
      <c r="J776" s="26">
        <v>43350</v>
      </c>
      <c r="K776" s="26">
        <v>43290</v>
      </c>
      <c r="L776" s="27">
        <f t="shared" si="74"/>
        <v>2</v>
      </c>
      <c r="M776" s="45">
        <v>132300</v>
      </c>
      <c r="N776" s="45">
        <v>314850</v>
      </c>
      <c r="O776" s="27">
        <v>92</v>
      </c>
      <c r="P776" s="46">
        <f t="shared" si="75"/>
        <v>0.57979990471653164</v>
      </c>
      <c r="Q776" s="27">
        <v>45</v>
      </c>
      <c r="R776" s="44">
        <f t="shared" si="72"/>
        <v>14168250</v>
      </c>
      <c r="S776" s="29">
        <v>0.03</v>
      </c>
      <c r="T776" s="44">
        <f t="shared" si="76"/>
        <v>13743202.5</v>
      </c>
      <c r="U776" s="44">
        <f t="shared" si="77"/>
        <v>7789702.5</v>
      </c>
      <c r="V776" s="44"/>
    </row>
    <row r="777" spans="1:22" ht="14.5" x14ac:dyDescent="0.35">
      <c r="A777" s="47" t="str">
        <f t="shared" si="73"/>
        <v>JKT-DR-E1028-2019</v>
      </c>
      <c r="B777" s="26">
        <v>43608</v>
      </c>
      <c r="C777" s="42">
        <v>2019</v>
      </c>
      <c r="D777" s="27" t="s">
        <v>513</v>
      </c>
      <c r="E777" s="27" t="s">
        <v>32</v>
      </c>
      <c r="F777" s="42" t="str" cm="1">
        <f t="array" ref="F777">_xlfn.IFS(E777="Bandung","BDG",E777="Surabaya","SBY",E777="Jakarta","JKT")</f>
        <v>JKT</v>
      </c>
      <c r="G777" s="27" t="s">
        <v>33</v>
      </c>
      <c r="H777" s="27" t="s">
        <v>125</v>
      </c>
      <c r="I777" s="27" t="s">
        <v>39</v>
      </c>
      <c r="J777" s="26" t="s">
        <v>1729</v>
      </c>
      <c r="K777" s="26">
        <v>43609</v>
      </c>
      <c r="L777" s="27">
        <f t="shared" si="74"/>
        <v>1</v>
      </c>
      <c r="M777" s="45">
        <v>323400</v>
      </c>
      <c r="N777" s="45">
        <v>548250</v>
      </c>
      <c r="O777" s="27">
        <v>56</v>
      </c>
      <c r="P777" s="46">
        <f t="shared" si="75"/>
        <v>0.41012311901504789</v>
      </c>
      <c r="Q777" s="27">
        <v>6</v>
      </c>
      <c r="R777" s="44">
        <f t="shared" si="72"/>
        <v>3289500</v>
      </c>
      <c r="S777" s="29">
        <v>0.01</v>
      </c>
      <c r="T777" s="44">
        <f t="shared" si="76"/>
        <v>3256605</v>
      </c>
      <c r="U777" s="44">
        <f t="shared" si="77"/>
        <v>1316205</v>
      </c>
      <c r="V777" s="44"/>
    </row>
    <row r="778" spans="1:22" ht="14.5" x14ac:dyDescent="0.35">
      <c r="A778" s="47" t="str">
        <f t="shared" si="73"/>
        <v>SBY-DP-E1037-2016</v>
      </c>
      <c r="B778" s="26">
        <v>42559</v>
      </c>
      <c r="C778" s="42">
        <v>2016</v>
      </c>
      <c r="D778" s="27" t="s">
        <v>82</v>
      </c>
      <c r="E778" s="27" t="s">
        <v>41</v>
      </c>
      <c r="F778" s="42" t="str" cm="1">
        <f t="array" ref="F778">_xlfn.IFS(E778="Bandung","BDG",E778="Surabaya","SBY",E778="Jakarta","JKT")</f>
        <v>SBY</v>
      </c>
      <c r="G778" s="27" t="s">
        <v>83</v>
      </c>
      <c r="H778" s="27" t="s">
        <v>84</v>
      </c>
      <c r="I778" s="27" t="s">
        <v>35</v>
      </c>
      <c r="J778" s="26">
        <v>42650</v>
      </c>
      <c r="K778" s="26">
        <v>42561</v>
      </c>
      <c r="L778" s="27">
        <f t="shared" si="74"/>
        <v>2</v>
      </c>
      <c r="M778" s="45">
        <v>1223850</v>
      </c>
      <c r="N778" s="45">
        <v>2399850</v>
      </c>
      <c r="O778" s="27">
        <v>30</v>
      </c>
      <c r="P778" s="46">
        <f t="shared" si="75"/>
        <v>0.49003062691418214</v>
      </c>
      <c r="Q778" s="27">
        <v>30</v>
      </c>
      <c r="R778" s="44">
        <f t="shared" si="72"/>
        <v>71995500</v>
      </c>
      <c r="S778" s="29">
        <v>0.01</v>
      </c>
      <c r="T778" s="44">
        <f t="shared" si="76"/>
        <v>71275545</v>
      </c>
      <c r="U778" s="44">
        <f t="shared" si="77"/>
        <v>34560045</v>
      </c>
      <c r="V778" s="44"/>
    </row>
    <row r="779" spans="1:22" ht="14.5" x14ac:dyDescent="0.35">
      <c r="A779" s="47" t="str">
        <f t="shared" si="73"/>
        <v>SBY-DR-E1032-2018</v>
      </c>
      <c r="B779" s="26">
        <v>43302</v>
      </c>
      <c r="C779" s="42">
        <v>2018</v>
      </c>
      <c r="D779" s="27" t="s">
        <v>567</v>
      </c>
      <c r="E779" s="27" t="s">
        <v>41</v>
      </c>
      <c r="F779" s="42" t="str" cm="1">
        <f t="array" ref="F779">_xlfn.IFS(E779="Bandung","BDG",E779="Surabaya","SBY",E779="Jakarta","JKT")</f>
        <v>SBY</v>
      </c>
      <c r="G779" s="27" t="s">
        <v>53</v>
      </c>
      <c r="H779" s="27" t="s">
        <v>156</v>
      </c>
      <c r="I779" s="27" t="s">
        <v>39</v>
      </c>
      <c r="J779" s="26">
        <v>43303</v>
      </c>
      <c r="K779" s="26">
        <v>43303</v>
      </c>
      <c r="L779" s="27">
        <f t="shared" si="74"/>
        <v>1</v>
      </c>
      <c r="M779" s="45">
        <v>52200</v>
      </c>
      <c r="N779" s="45">
        <v>81450</v>
      </c>
      <c r="O779" s="27">
        <v>72</v>
      </c>
      <c r="P779" s="46">
        <f t="shared" si="75"/>
        <v>0.35911602209944754</v>
      </c>
      <c r="Q779" s="27">
        <v>13</v>
      </c>
      <c r="R779" s="44">
        <f t="shared" si="72"/>
        <v>1058850</v>
      </c>
      <c r="S779" s="29">
        <v>0.02</v>
      </c>
      <c r="T779" s="44">
        <f t="shared" si="76"/>
        <v>1037673</v>
      </c>
      <c r="U779" s="44">
        <f t="shared" si="77"/>
        <v>359073</v>
      </c>
      <c r="V779" s="44"/>
    </row>
    <row r="780" spans="1:22" ht="14.5" x14ac:dyDescent="0.35">
      <c r="A780" s="47" t="str">
        <f t="shared" si="73"/>
        <v>SBY-DP-E1037-2018</v>
      </c>
      <c r="B780" s="26">
        <v>43266</v>
      </c>
      <c r="C780" s="42">
        <v>2018</v>
      </c>
      <c r="D780" s="27" t="s">
        <v>554</v>
      </c>
      <c r="E780" s="27" t="s">
        <v>41</v>
      </c>
      <c r="F780" s="42" t="str" cm="1">
        <f t="array" ref="F780">_xlfn.IFS(E780="Bandung","BDG",E780="Surabaya","SBY",E780="Jakarta","JKT")</f>
        <v>SBY</v>
      </c>
      <c r="G780" s="27" t="s">
        <v>83</v>
      </c>
      <c r="H780" s="27" t="s">
        <v>305</v>
      </c>
      <c r="I780" s="27" t="s">
        <v>39</v>
      </c>
      <c r="J780" s="26" t="s">
        <v>1673</v>
      </c>
      <c r="K780" s="26">
        <v>43267</v>
      </c>
      <c r="L780" s="27">
        <f t="shared" si="74"/>
        <v>1</v>
      </c>
      <c r="M780" s="45">
        <v>78300</v>
      </c>
      <c r="N780" s="45">
        <v>147750</v>
      </c>
      <c r="O780" s="27">
        <v>41</v>
      </c>
      <c r="P780" s="46">
        <f t="shared" si="75"/>
        <v>0.4700507614213198</v>
      </c>
      <c r="Q780" s="27">
        <v>41</v>
      </c>
      <c r="R780" s="44">
        <f t="shared" si="72"/>
        <v>6057750</v>
      </c>
      <c r="S780" s="29">
        <v>0.05</v>
      </c>
      <c r="T780" s="44">
        <f t="shared" si="76"/>
        <v>5754862.5</v>
      </c>
      <c r="U780" s="44">
        <f t="shared" si="77"/>
        <v>2544562.5</v>
      </c>
      <c r="V780" s="44"/>
    </row>
    <row r="781" spans="1:22" ht="14.5" x14ac:dyDescent="0.35">
      <c r="A781" s="47" t="str">
        <f t="shared" si="73"/>
        <v>SBY-DP-E1037-2019</v>
      </c>
      <c r="B781" s="26">
        <v>43587</v>
      </c>
      <c r="C781" s="42">
        <v>2019</v>
      </c>
      <c r="D781" s="27" t="s">
        <v>554</v>
      </c>
      <c r="E781" s="27" t="s">
        <v>41</v>
      </c>
      <c r="F781" s="42" t="str" cm="1">
        <f t="array" ref="F781">_xlfn.IFS(E781="Bandung","BDG",E781="Surabaya","SBY",E781="Jakarta","JKT")</f>
        <v>SBY</v>
      </c>
      <c r="G781" s="27" t="s">
        <v>83</v>
      </c>
      <c r="H781" s="27" t="s">
        <v>105</v>
      </c>
      <c r="I781" s="27" t="s">
        <v>35</v>
      </c>
      <c r="J781" s="26">
        <v>43589</v>
      </c>
      <c r="K781" s="26">
        <v>43560</v>
      </c>
      <c r="L781" s="27">
        <f t="shared" si="74"/>
        <v>-27</v>
      </c>
      <c r="M781" s="45">
        <v>124650.00000000001</v>
      </c>
      <c r="N781" s="45">
        <v>239700</v>
      </c>
      <c r="O781" s="27">
        <v>39</v>
      </c>
      <c r="P781" s="46">
        <f t="shared" si="75"/>
        <v>0.47997496871088857</v>
      </c>
      <c r="Q781" s="27">
        <v>4</v>
      </c>
      <c r="R781" s="44">
        <f t="shared" si="72"/>
        <v>958800</v>
      </c>
      <c r="S781" s="29">
        <v>0.09</v>
      </c>
      <c r="T781" s="44">
        <f t="shared" si="76"/>
        <v>872508</v>
      </c>
      <c r="U781" s="44">
        <f t="shared" si="77"/>
        <v>373907.99999999994</v>
      </c>
      <c r="V781" s="44"/>
    </row>
    <row r="782" spans="1:22" ht="14.5" x14ac:dyDescent="0.35">
      <c r="A782" s="47" t="str">
        <f t="shared" si="73"/>
        <v>SBY-DP-E1037-2019</v>
      </c>
      <c r="B782" s="26">
        <v>43779</v>
      </c>
      <c r="C782" s="42">
        <v>2019</v>
      </c>
      <c r="D782" s="27" t="s">
        <v>554</v>
      </c>
      <c r="E782" s="27" t="s">
        <v>41</v>
      </c>
      <c r="F782" s="42" t="str" cm="1">
        <f t="array" ref="F782">_xlfn.IFS(E782="Bandung","BDG",E782="Surabaya","SBY",E782="Jakarta","JKT")</f>
        <v>SBY</v>
      </c>
      <c r="G782" s="27" t="s">
        <v>83</v>
      </c>
      <c r="H782" s="27" t="s">
        <v>123</v>
      </c>
      <c r="I782" s="27" t="s">
        <v>35</v>
      </c>
      <c r="J782" s="26">
        <v>43781</v>
      </c>
      <c r="K782" s="26">
        <v>43810</v>
      </c>
      <c r="L782" s="27">
        <f t="shared" si="74"/>
        <v>31</v>
      </c>
      <c r="M782" s="45">
        <v>208200</v>
      </c>
      <c r="N782" s="45">
        <v>335700</v>
      </c>
      <c r="O782" s="27">
        <v>74</v>
      </c>
      <c r="P782" s="46">
        <f t="shared" si="75"/>
        <v>0.37980339588918677</v>
      </c>
      <c r="Q782" s="27">
        <v>18</v>
      </c>
      <c r="R782" s="44">
        <f t="shared" si="72"/>
        <v>6042600</v>
      </c>
      <c r="S782" s="29">
        <v>0.05</v>
      </c>
      <c r="T782" s="44">
        <f t="shared" si="76"/>
        <v>5740470</v>
      </c>
      <c r="U782" s="44">
        <f t="shared" si="77"/>
        <v>1992870</v>
      </c>
      <c r="V782" s="44"/>
    </row>
    <row r="783" spans="1:22" ht="14.5" x14ac:dyDescent="0.35">
      <c r="A783" s="47" t="str">
        <f t="shared" si="73"/>
        <v>SBY-DP-E1037-2020</v>
      </c>
      <c r="B783" s="26">
        <v>43866</v>
      </c>
      <c r="C783" s="42">
        <v>2020</v>
      </c>
      <c r="D783" s="27" t="s">
        <v>554</v>
      </c>
      <c r="E783" s="27" t="s">
        <v>41</v>
      </c>
      <c r="F783" s="42" t="str" cm="1">
        <f t="array" ref="F783">_xlfn.IFS(E783="Bandung","BDG",E783="Surabaya","SBY",E783="Jakarta","JKT")</f>
        <v>SBY</v>
      </c>
      <c r="G783" s="27" t="s">
        <v>83</v>
      </c>
      <c r="H783" s="27" t="s">
        <v>119</v>
      </c>
      <c r="I783" s="27" t="s">
        <v>120</v>
      </c>
      <c r="J783" s="26">
        <v>43868</v>
      </c>
      <c r="K783" s="26">
        <v>44014</v>
      </c>
      <c r="L783" s="27">
        <f t="shared" si="74"/>
        <v>148</v>
      </c>
      <c r="M783" s="45">
        <v>132300</v>
      </c>
      <c r="N783" s="45">
        <v>314850</v>
      </c>
      <c r="O783" s="27">
        <v>47</v>
      </c>
      <c r="P783" s="46">
        <f t="shared" si="75"/>
        <v>0.57979990471653164</v>
      </c>
      <c r="Q783" s="27">
        <v>17</v>
      </c>
      <c r="R783" s="44">
        <f t="shared" si="72"/>
        <v>5352450</v>
      </c>
      <c r="S783" s="29">
        <v>0</v>
      </c>
      <c r="T783" s="44">
        <f t="shared" si="76"/>
        <v>5352450</v>
      </c>
      <c r="U783" s="44">
        <f t="shared" si="77"/>
        <v>3103350</v>
      </c>
      <c r="V783" s="44"/>
    </row>
    <row r="784" spans="1:22" ht="14.5" x14ac:dyDescent="0.35">
      <c r="A784" s="47" t="str">
        <f t="shared" si="73"/>
        <v>JKT-DU-E1028-2016</v>
      </c>
      <c r="B784" s="26">
        <v>42616</v>
      </c>
      <c r="C784" s="42">
        <v>2016</v>
      </c>
      <c r="D784" s="27" t="s">
        <v>137</v>
      </c>
      <c r="E784" s="27" t="s">
        <v>32</v>
      </c>
      <c r="F784" s="42" t="str" cm="1">
        <f t="array" ref="F784">_xlfn.IFS(E784="Bandung","BDG",E784="Surabaya","SBY",E784="Jakarta","JKT")</f>
        <v>JKT</v>
      </c>
      <c r="G784" s="27" t="s">
        <v>33</v>
      </c>
      <c r="H784" s="27" t="s">
        <v>138</v>
      </c>
      <c r="I784" s="27" t="s">
        <v>35</v>
      </c>
      <c r="J784" s="26">
        <v>42618</v>
      </c>
      <c r="K784" s="26">
        <v>42499</v>
      </c>
      <c r="L784" s="27">
        <f t="shared" si="74"/>
        <v>-117</v>
      </c>
      <c r="M784" s="45">
        <v>17700</v>
      </c>
      <c r="N784" s="45">
        <v>28200</v>
      </c>
      <c r="O784" s="27">
        <v>53</v>
      </c>
      <c r="P784" s="46">
        <f t="shared" si="75"/>
        <v>0.37234042553191488</v>
      </c>
      <c r="Q784" s="27">
        <v>1</v>
      </c>
      <c r="R784" s="44">
        <f t="shared" si="72"/>
        <v>28200</v>
      </c>
      <c r="S784" s="29">
        <v>0.05</v>
      </c>
      <c r="T784" s="44">
        <f t="shared" si="76"/>
        <v>26790</v>
      </c>
      <c r="U784" s="44">
        <f t="shared" si="77"/>
        <v>9090</v>
      </c>
      <c r="V784" s="44"/>
    </row>
    <row r="785" spans="1:22" ht="14.5" x14ac:dyDescent="0.35">
      <c r="A785" s="47" t="str">
        <f t="shared" si="73"/>
        <v>JKT-DU-E1028-2019</v>
      </c>
      <c r="B785" s="26">
        <v>43620</v>
      </c>
      <c r="C785" s="42">
        <v>2019</v>
      </c>
      <c r="D785" s="27" t="s">
        <v>137</v>
      </c>
      <c r="E785" s="27" t="s">
        <v>32</v>
      </c>
      <c r="F785" s="42" t="str" cm="1">
        <f t="array" ref="F785">_xlfn.IFS(E785="Bandung","BDG",E785="Surabaya","SBY",E785="Jakarta","JKT")</f>
        <v>JKT</v>
      </c>
      <c r="G785" s="27" t="s">
        <v>33</v>
      </c>
      <c r="H785" s="27" t="s">
        <v>445</v>
      </c>
      <c r="I785" s="27" t="s">
        <v>35</v>
      </c>
      <c r="J785" s="26">
        <v>43622</v>
      </c>
      <c r="K785" s="26">
        <v>43622</v>
      </c>
      <c r="L785" s="27">
        <f t="shared" si="74"/>
        <v>2</v>
      </c>
      <c r="M785" s="45">
        <v>220500</v>
      </c>
      <c r="N785" s="45">
        <v>449850</v>
      </c>
      <c r="O785" s="27">
        <v>31</v>
      </c>
      <c r="P785" s="46">
        <f t="shared" si="75"/>
        <v>0.50983661220406806</v>
      </c>
      <c r="Q785" s="27">
        <v>11</v>
      </c>
      <c r="R785" s="44">
        <f t="shared" si="72"/>
        <v>4948350</v>
      </c>
      <c r="S785" s="29">
        <v>0.08</v>
      </c>
      <c r="T785" s="44">
        <f t="shared" si="76"/>
        <v>4552482</v>
      </c>
      <c r="U785" s="44">
        <f t="shared" si="77"/>
        <v>2126982</v>
      </c>
      <c r="V785" s="44"/>
    </row>
    <row r="786" spans="1:22" ht="14.5" x14ac:dyDescent="0.35">
      <c r="A786" s="47" t="str">
        <f t="shared" si="73"/>
        <v>SBY-DM-E1030-2016</v>
      </c>
      <c r="B786" s="26">
        <v>42649</v>
      </c>
      <c r="C786" s="42">
        <v>2016</v>
      </c>
      <c r="D786" s="27" t="s">
        <v>179</v>
      </c>
      <c r="E786" s="27" t="s">
        <v>41</v>
      </c>
      <c r="F786" s="42" t="str" cm="1">
        <f t="array" ref="F786">_xlfn.IFS(E786="Bandung","BDG",E786="Surabaya","SBY",E786="Jakarta","JKT")</f>
        <v>SBY</v>
      </c>
      <c r="G786" s="27" t="s">
        <v>42</v>
      </c>
      <c r="H786" s="27" t="s">
        <v>180</v>
      </c>
      <c r="I786" s="27" t="s">
        <v>35</v>
      </c>
      <c r="J786" s="26">
        <v>42650</v>
      </c>
      <c r="K786" s="26">
        <v>42561</v>
      </c>
      <c r="L786" s="27">
        <f t="shared" si="74"/>
        <v>-88</v>
      </c>
      <c r="M786" s="45">
        <v>51000</v>
      </c>
      <c r="N786" s="45">
        <v>81000</v>
      </c>
      <c r="O786" s="27">
        <v>77</v>
      </c>
      <c r="P786" s="46">
        <f t="shared" si="75"/>
        <v>0.37037037037037035</v>
      </c>
      <c r="Q786" s="27">
        <v>25</v>
      </c>
      <c r="R786" s="44">
        <f t="shared" si="72"/>
        <v>2025000</v>
      </c>
      <c r="S786" s="29">
        <v>0.09</v>
      </c>
      <c r="T786" s="44">
        <f t="shared" si="76"/>
        <v>1842750</v>
      </c>
      <c r="U786" s="44">
        <f t="shared" si="77"/>
        <v>567750</v>
      </c>
      <c r="V786" s="44"/>
    </row>
    <row r="787" spans="1:22" ht="14.5" x14ac:dyDescent="0.35">
      <c r="A787" s="47" t="str">
        <f t="shared" si="73"/>
        <v>SBY-DY-E1036-2018</v>
      </c>
      <c r="B787" s="26">
        <v>43201</v>
      </c>
      <c r="C787" s="42">
        <v>2018</v>
      </c>
      <c r="D787" s="27" t="s">
        <v>524</v>
      </c>
      <c r="E787" s="27" t="s">
        <v>41</v>
      </c>
      <c r="F787" s="42" t="str" cm="1">
        <f t="array" ref="F787">_xlfn.IFS(E787="Bandung","BDG",E787="Surabaya","SBY",E787="Jakarta","JKT")</f>
        <v>SBY</v>
      </c>
      <c r="G787" s="27" t="s">
        <v>78</v>
      </c>
      <c r="H787" s="27" t="s">
        <v>277</v>
      </c>
      <c r="I787" s="27" t="s">
        <v>35</v>
      </c>
      <c r="J787" s="26">
        <v>43201</v>
      </c>
      <c r="K787" s="26">
        <v>43408</v>
      </c>
      <c r="L787" s="27">
        <f t="shared" si="74"/>
        <v>207</v>
      </c>
      <c r="M787" s="45">
        <v>332700</v>
      </c>
      <c r="N787" s="45">
        <v>811500</v>
      </c>
      <c r="O787" s="27">
        <v>24</v>
      </c>
      <c r="P787" s="46">
        <f t="shared" si="75"/>
        <v>0.59001848428835491</v>
      </c>
      <c r="Q787" s="27">
        <v>5</v>
      </c>
      <c r="R787" s="44">
        <f t="shared" si="72"/>
        <v>4057500</v>
      </c>
      <c r="S787" s="29">
        <v>0.04</v>
      </c>
      <c r="T787" s="44">
        <f t="shared" si="76"/>
        <v>3895200</v>
      </c>
      <c r="U787" s="44">
        <f t="shared" si="77"/>
        <v>2231700</v>
      </c>
      <c r="V787" s="44"/>
    </row>
    <row r="788" spans="1:22" ht="14.5" x14ac:dyDescent="0.35">
      <c r="A788" s="47" t="str">
        <f t="shared" si="73"/>
        <v>SBY-DS-E1039-2019</v>
      </c>
      <c r="B788" s="26">
        <v>43817</v>
      </c>
      <c r="C788" s="42">
        <v>2019</v>
      </c>
      <c r="D788" s="27" t="s">
        <v>707</v>
      </c>
      <c r="E788" s="27" t="s">
        <v>41</v>
      </c>
      <c r="F788" s="42" t="str" cm="1">
        <f t="array" ref="F788">_xlfn.IFS(E788="Bandung","BDG",E788="Surabaya","SBY",E788="Jakarta","JKT")</f>
        <v>SBY</v>
      </c>
      <c r="G788" s="27" t="s">
        <v>103</v>
      </c>
      <c r="H788" s="27" t="s">
        <v>142</v>
      </c>
      <c r="I788" s="27" t="s">
        <v>35</v>
      </c>
      <c r="J788" s="26">
        <v>43820</v>
      </c>
      <c r="K788" s="26">
        <v>43820</v>
      </c>
      <c r="L788" s="27">
        <f t="shared" si="74"/>
        <v>3</v>
      </c>
      <c r="M788" s="45">
        <v>57600</v>
      </c>
      <c r="N788" s="45">
        <v>94500</v>
      </c>
      <c r="O788" s="27">
        <v>40</v>
      </c>
      <c r="P788" s="46">
        <f t="shared" si="75"/>
        <v>0.39047619047619048</v>
      </c>
      <c r="Q788" s="27">
        <v>40</v>
      </c>
      <c r="R788" s="44">
        <f t="shared" si="72"/>
        <v>3780000</v>
      </c>
      <c r="S788" s="29">
        <v>0.04</v>
      </c>
      <c r="T788" s="44">
        <f t="shared" si="76"/>
        <v>3628800</v>
      </c>
      <c r="U788" s="44">
        <f t="shared" si="77"/>
        <v>1324800</v>
      </c>
      <c r="V788" s="44"/>
    </row>
    <row r="789" spans="1:22" ht="14.5" x14ac:dyDescent="0.35">
      <c r="A789" s="47" t="str">
        <f t="shared" si="73"/>
        <v>BDG-DP-E1039-2017</v>
      </c>
      <c r="B789" s="26">
        <v>42796</v>
      </c>
      <c r="C789" s="42">
        <v>2017</v>
      </c>
      <c r="D789" s="27" t="s">
        <v>317</v>
      </c>
      <c r="E789" s="27" t="s">
        <v>136</v>
      </c>
      <c r="F789" s="42" t="str" cm="1">
        <f t="array" ref="F789">_xlfn.IFS(E789="Bandung","BDG",E789="Surabaya","SBY",E789="Jakarta","JKT")</f>
        <v>BDG</v>
      </c>
      <c r="G789" s="27" t="s">
        <v>103</v>
      </c>
      <c r="H789" s="27" t="s">
        <v>196</v>
      </c>
      <c r="I789" s="27" t="s">
        <v>35</v>
      </c>
      <c r="J789" s="26">
        <v>42828</v>
      </c>
      <c r="K789" s="26">
        <v>42798</v>
      </c>
      <c r="L789" s="27">
        <f t="shared" si="74"/>
        <v>2</v>
      </c>
      <c r="M789" s="45">
        <v>323400</v>
      </c>
      <c r="N789" s="45">
        <v>539100</v>
      </c>
      <c r="O789" s="27">
        <v>19</v>
      </c>
      <c r="P789" s="46">
        <f t="shared" si="75"/>
        <v>0.40011129660545353</v>
      </c>
      <c r="Q789" s="27">
        <v>19</v>
      </c>
      <c r="R789" s="44">
        <f t="shared" si="72"/>
        <v>10242900</v>
      </c>
      <c r="S789" s="29">
        <v>0.09</v>
      </c>
      <c r="T789" s="44">
        <f t="shared" si="76"/>
        <v>9321039</v>
      </c>
      <c r="U789" s="44">
        <f t="shared" si="77"/>
        <v>3176439</v>
      </c>
      <c r="V789" s="44"/>
    </row>
    <row r="790" spans="1:22" ht="14.5" x14ac:dyDescent="0.35">
      <c r="A790" s="47" t="str">
        <f t="shared" si="73"/>
        <v>BDG-DP-E1039-2018</v>
      </c>
      <c r="B790" s="26">
        <v>43320</v>
      </c>
      <c r="C790" s="42">
        <v>2018</v>
      </c>
      <c r="D790" s="27" t="s">
        <v>317</v>
      </c>
      <c r="E790" s="27" t="s">
        <v>136</v>
      </c>
      <c r="F790" s="42" t="str" cm="1">
        <f t="array" ref="F790">_xlfn.IFS(E790="Bandung","BDG",E790="Surabaya","SBY",E790="Jakarta","JKT")</f>
        <v>BDG</v>
      </c>
      <c r="G790" s="27" t="s">
        <v>103</v>
      </c>
      <c r="H790" s="27" t="s">
        <v>119</v>
      </c>
      <c r="I790" s="27" t="s">
        <v>120</v>
      </c>
      <c r="J790" s="26">
        <v>43320</v>
      </c>
      <c r="K790" s="26">
        <v>43320</v>
      </c>
      <c r="L790" s="27">
        <f t="shared" si="74"/>
        <v>0</v>
      </c>
      <c r="M790" s="45">
        <v>132300</v>
      </c>
      <c r="N790" s="45">
        <v>314850</v>
      </c>
      <c r="O790" s="27">
        <v>30</v>
      </c>
      <c r="P790" s="46">
        <f t="shared" si="75"/>
        <v>0.57979990471653164</v>
      </c>
      <c r="Q790" s="27">
        <v>19</v>
      </c>
      <c r="R790" s="44">
        <f t="shared" si="72"/>
        <v>5982150</v>
      </c>
      <c r="S790" s="29">
        <v>0.01</v>
      </c>
      <c r="T790" s="44">
        <f t="shared" si="76"/>
        <v>5922328.5</v>
      </c>
      <c r="U790" s="44">
        <f t="shared" si="77"/>
        <v>3408628.5</v>
      </c>
      <c r="V790" s="44"/>
    </row>
    <row r="791" spans="1:22" ht="14.5" x14ac:dyDescent="0.35">
      <c r="A791" s="47" t="str">
        <f t="shared" si="73"/>
        <v>BDG-DP-E1039-2018</v>
      </c>
      <c r="B791" s="26">
        <v>43334</v>
      </c>
      <c r="C791" s="42">
        <v>2018</v>
      </c>
      <c r="D791" s="27" t="s">
        <v>317</v>
      </c>
      <c r="E791" s="27" t="s">
        <v>136</v>
      </c>
      <c r="F791" s="42" t="str" cm="1">
        <f t="array" ref="F791">_xlfn.IFS(E791="Bandung","BDG",E791="Surabaya","SBY",E791="Jakarta","JKT")</f>
        <v>BDG</v>
      </c>
      <c r="G791" s="27" t="s">
        <v>103</v>
      </c>
      <c r="H791" s="27" t="s">
        <v>206</v>
      </c>
      <c r="I791" s="27" t="s">
        <v>35</v>
      </c>
      <c r="J791" s="26">
        <v>43335</v>
      </c>
      <c r="K791" s="26">
        <v>43335</v>
      </c>
      <c r="L791" s="27">
        <f t="shared" si="74"/>
        <v>1</v>
      </c>
      <c r="M791" s="45">
        <v>817800</v>
      </c>
      <c r="N791" s="45">
        <v>1514550</v>
      </c>
      <c r="O791" s="27">
        <v>43</v>
      </c>
      <c r="P791" s="46">
        <f t="shared" si="75"/>
        <v>0.46003763494107158</v>
      </c>
      <c r="Q791" s="27">
        <v>15</v>
      </c>
      <c r="R791" s="44">
        <f t="shared" si="72"/>
        <v>22718250</v>
      </c>
      <c r="S791" s="29">
        <v>0.1</v>
      </c>
      <c r="T791" s="44">
        <f t="shared" si="76"/>
        <v>20446425</v>
      </c>
      <c r="U791" s="44">
        <f t="shared" si="77"/>
        <v>8179425</v>
      </c>
      <c r="V791" s="44"/>
    </row>
    <row r="792" spans="1:22" ht="14.5" x14ac:dyDescent="0.35">
      <c r="A792" s="47" t="str">
        <f t="shared" si="73"/>
        <v>BDG-DP-E1039-2018</v>
      </c>
      <c r="B792" s="26">
        <v>43346</v>
      </c>
      <c r="C792" s="42">
        <v>2018</v>
      </c>
      <c r="D792" s="27" t="s">
        <v>317</v>
      </c>
      <c r="E792" s="27" t="s">
        <v>136</v>
      </c>
      <c r="F792" s="42" t="str" cm="1">
        <f t="array" ref="F792">_xlfn.IFS(E792="Bandung","BDG",E792="Surabaya","SBY",E792="Jakarta","JKT")</f>
        <v>BDG</v>
      </c>
      <c r="G792" s="27" t="s">
        <v>103</v>
      </c>
      <c r="H792" s="27" t="s">
        <v>343</v>
      </c>
      <c r="I792" s="27" t="s">
        <v>39</v>
      </c>
      <c r="J792" s="26">
        <v>43229</v>
      </c>
      <c r="K792" s="26">
        <v>43348</v>
      </c>
      <c r="L792" s="27">
        <f t="shared" si="74"/>
        <v>2</v>
      </c>
      <c r="M792" s="45">
        <v>34650</v>
      </c>
      <c r="N792" s="45">
        <v>56700</v>
      </c>
      <c r="O792" s="27">
        <v>75</v>
      </c>
      <c r="P792" s="46">
        <f t="shared" si="75"/>
        <v>0.3888888888888889</v>
      </c>
      <c r="Q792" s="27">
        <v>19</v>
      </c>
      <c r="R792" s="44">
        <f t="shared" si="72"/>
        <v>1077300</v>
      </c>
      <c r="S792" s="29">
        <v>0.03</v>
      </c>
      <c r="T792" s="44">
        <f t="shared" si="76"/>
        <v>1044981</v>
      </c>
      <c r="U792" s="44">
        <f t="shared" si="77"/>
        <v>386631</v>
      </c>
      <c r="V792" s="44"/>
    </row>
    <row r="793" spans="1:22" ht="14.5" x14ac:dyDescent="0.35">
      <c r="A793" s="47" t="str">
        <f t="shared" si="73"/>
        <v>SBY-DL-E1039-2019</v>
      </c>
      <c r="B793" s="26">
        <v>43508</v>
      </c>
      <c r="C793" s="42">
        <v>2019</v>
      </c>
      <c r="D793" s="27" t="s">
        <v>638</v>
      </c>
      <c r="E793" s="27" t="s">
        <v>41</v>
      </c>
      <c r="F793" s="42" t="str" cm="1">
        <f t="array" ref="F793">_xlfn.IFS(E793="Bandung","BDG",E793="Surabaya","SBY",E793="Jakarta","JKT")</f>
        <v>SBY</v>
      </c>
      <c r="G793" s="27" t="s">
        <v>103</v>
      </c>
      <c r="H793" s="27" t="s">
        <v>168</v>
      </c>
      <c r="I793" s="27" t="s">
        <v>35</v>
      </c>
      <c r="J793" s="26">
        <v>43508</v>
      </c>
      <c r="K793" s="26">
        <v>43801</v>
      </c>
      <c r="L793" s="27">
        <f t="shared" si="74"/>
        <v>293</v>
      </c>
      <c r="M793" s="45">
        <v>2682450</v>
      </c>
      <c r="N793" s="45">
        <v>6238200</v>
      </c>
      <c r="O793" s="27">
        <v>25</v>
      </c>
      <c r="P793" s="46">
        <f t="shared" si="75"/>
        <v>0.56999615273636628</v>
      </c>
      <c r="Q793" s="27">
        <v>21</v>
      </c>
      <c r="R793" s="44">
        <f t="shared" si="72"/>
        <v>131002200</v>
      </c>
      <c r="S793" s="29">
        <v>0.09</v>
      </c>
      <c r="T793" s="44">
        <f t="shared" si="76"/>
        <v>119212002</v>
      </c>
      <c r="U793" s="44">
        <f t="shared" si="77"/>
        <v>62880552</v>
      </c>
      <c r="V793" s="44"/>
    </row>
    <row r="794" spans="1:22" ht="14.5" x14ac:dyDescent="0.35">
      <c r="A794" s="47" t="str">
        <f t="shared" si="73"/>
        <v>SBY-DA-E1030-2016</v>
      </c>
      <c r="B794" s="26">
        <v>42735</v>
      </c>
      <c r="C794" s="42">
        <v>2016</v>
      </c>
      <c r="D794" s="27" t="s">
        <v>271</v>
      </c>
      <c r="E794" s="27" t="s">
        <v>41</v>
      </c>
      <c r="F794" s="42" t="str" cm="1">
        <f t="array" ref="F794">_xlfn.IFS(E794="Bandung","BDG",E794="Surabaya","SBY",E794="Jakarta","JKT")</f>
        <v>SBY</v>
      </c>
      <c r="G794" s="27" t="s">
        <v>42</v>
      </c>
      <c r="H794" s="27" t="s">
        <v>123</v>
      </c>
      <c r="I794" s="27" t="s">
        <v>35</v>
      </c>
      <c r="J794" s="26">
        <v>42917</v>
      </c>
      <c r="K794" s="26">
        <v>42742</v>
      </c>
      <c r="L794" s="27">
        <f t="shared" si="74"/>
        <v>7</v>
      </c>
      <c r="M794" s="45">
        <v>208200</v>
      </c>
      <c r="N794" s="45">
        <v>335700</v>
      </c>
      <c r="O794" s="27">
        <v>56</v>
      </c>
      <c r="P794" s="46">
        <f t="shared" si="75"/>
        <v>0.37980339588918677</v>
      </c>
      <c r="Q794" s="27">
        <v>16</v>
      </c>
      <c r="R794" s="44">
        <f t="shared" si="72"/>
        <v>5371200</v>
      </c>
      <c r="S794" s="29">
        <v>0</v>
      </c>
      <c r="T794" s="44">
        <f t="shared" si="76"/>
        <v>5371200</v>
      </c>
      <c r="U794" s="44">
        <f t="shared" si="77"/>
        <v>2040000</v>
      </c>
      <c r="V794" s="44"/>
    </row>
    <row r="795" spans="1:22" ht="14.5" x14ac:dyDescent="0.35">
      <c r="A795" s="47" t="str">
        <f t="shared" si="73"/>
        <v>SBY-DA-E1030-2017</v>
      </c>
      <c r="B795" s="26">
        <v>42853</v>
      </c>
      <c r="C795" s="42">
        <v>2017</v>
      </c>
      <c r="D795" s="27" t="s">
        <v>271</v>
      </c>
      <c r="E795" s="27" t="s">
        <v>41</v>
      </c>
      <c r="F795" s="42" t="str" cm="1">
        <f t="array" ref="F795">_xlfn.IFS(E795="Bandung","BDG",E795="Surabaya","SBY",E795="Jakarta","JKT")</f>
        <v>SBY</v>
      </c>
      <c r="G795" s="27" t="s">
        <v>42</v>
      </c>
      <c r="H795" s="27" t="s">
        <v>219</v>
      </c>
      <c r="I795" s="27" t="s">
        <v>39</v>
      </c>
      <c r="J795" s="26">
        <v>42856</v>
      </c>
      <c r="K795" s="26">
        <v>42740</v>
      </c>
      <c r="L795" s="27">
        <f t="shared" si="74"/>
        <v>-113</v>
      </c>
      <c r="M795" s="45">
        <v>29250</v>
      </c>
      <c r="N795" s="45">
        <v>59700</v>
      </c>
      <c r="O795" s="27">
        <v>71</v>
      </c>
      <c r="P795" s="46">
        <f t="shared" si="75"/>
        <v>0.51005025125628145</v>
      </c>
      <c r="Q795" s="27">
        <v>41</v>
      </c>
      <c r="R795" s="44">
        <f t="shared" si="72"/>
        <v>2447700</v>
      </c>
      <c r="S795" s="29">
        <v>7.0000000000000007E-2</v>
      </c>
      <c r="T795" s="44">
        <f t="shared" si="76"/>
        <v>2276361</v>
      </c>
      <c r="U795" s="44">
        <f t="shared" si="77"/>
        <v>1077111</v>
      </c>
      <c r="V795" s="44"/>
    </row>
    <row r="796" spans="1:22" ht="14.5" x14ac:dyDescent="0.35">
      <c r="A796" s="47" t="str">
        <f t="shared" si="73"/>
        <v>SBY-DZ-E1031-2017</v>
      </c>
      <c r="B796" s="26">
        <v>43099</v>
      </c>
      <c r="C796" s="42">
        <v>2017</v>
      </c>
      <c r="D796" s="27" t="s">
        <v>481</v>
      </c>
      <c r="E796" s="27" t="s">
        <v>41</v>
      </c>
      <c r="F796" s="42" t="str" cm="1">
        <f t="array" ref="F796">_xlfn.IFS(E796="Bandung","BDG",E796="Surabaya","SBY",E796="Jakarta","JKT")</f>
        <v>SBY</v>
      </c>
      <c r="G796" s="27" t="s">
        <v>48</v>
      </c>
      <c r="H796" s="27" t="s">
        <v>229</v>
      </c>
      <c r="I796" s="27" t="s">
        <v>35</v>
      </c>
      <c r="J796" s="26">
        <v>43100</v>
      </c>
      <c r="K796" s="26">
        <v>43100</v>
      </c>
      <c r="L796" s="27">
        <f t="shared" si="74"/>
        <v>1</v>
      </c>
      <c r="M796" s="45">
        <v>33900</v>
      </c>
      <c r="N796" s="45">
        <v>53700</v>
      </c>
      <c r="O796" s="27">
        <v>61</v>
      </c>
      <c r="P796" s="46">
        <f t="shared" si="75"/>
        <v>0.36871508379888268</v>
      </c>
      <c r="Q796" s="27">
        <v>19</v>
      </c>
      <c r="R796" s="44">
        <f t="shared" si="72"/>
        <v>1020300</v>
      </c>
      <c r="S796" s="29">
        <v>0</v>
      </c>
      <c r="T796" s="44">
        <f t="shared" si="76"/>
        <v>1020300</v>
      </c>
      <c r="U796" s="44">
        <f t="shared" si="77"/>
        <v>376200</v>
      </c>
      <c r="V796" s="44"/>
    </row>
    <row r="797" spans="1:22" ht="14.5" x14ac:dyDescent="0.35">
      <c r="A797" s="47" t="str">
        <f t="shared" si="73"/>
        <v>SBY-DZ-E1031-2018</v>
      </c>
      <c r="B797" s="26">
        <v>43183</v>
      </c>
      <c r="C797" s="42">
        <v>2018</v>
      </c>
      <c r="D797" s="27" t="s">
        <v>481</v>
      </c>
      <c r="E797" s="27" t="s">
        <v>41</v>
      </c>
      <c r="F797" s="42" t="str" cm="1">
        <f t="array" ref="F797">_xlfn.IFS(E797="Bandung","BDG",E797="Surabaya","SBY",E797="Jakarta","JKT")</f>
        <v>SBY</v>
      </c>
      <c r="G797" s="27" t="s">
        <v>48</v>
      </c>
      <c r="H797" s="27" t="s">
        <v>376</v>
      </c>
      <c r="I797" s="27" t="s">
        <v>73</v>
      </c>
      <c r="J797" s="26">
        <v>43184</v>
      </c>
      <c r="K797" s="26">
        <v>43184</v>
      </c>
      <c r="L797" s="27">
        <f t="shared" si="74"/>
        <v>1</v>
      </c>
      <c r="M797" s="45">
        <v>62850.000000000007</v>
      </c>
      <c r="N797" s="45">
        <v>153450</v>
      </c>
      <c r="O797" s="27">
        <v>71</v>
      </c>
      <c r="P797" s="46">
        <f t="shared" si="75"/>
        <v>0.59042033235581626</v>
      </c>
      <c r="Q797" s="27">
        <v>46</v>
      </c>
      <c r="R797" s="44">
        <f t="shared" si="72"/>
        <v>7058700</v>
      </c>
      <c r="S797" s="29">
        <v>0.01</v>
      </c>
      <c r="T797" s="44">
        <f t="shared" si="76"/>
        <v>6988113</v>
      </c>
      <c r="U797" s="44">
        <f t="shared" si="77"/>
        <v>4097012.9999999995</v>
      </c>
      <c r="V797" s="44"/>
    </row>
    <row r="798" spans="1:22" ht="14.5" x14ac:dyDescent="0.35">
      <c r="A798" s="47" t="str">
        <f t="shared" si="73"/>
        <v>JKT-DR-E1028-2019</v>
      </c>
      <c r="B798" s="26">
        <v>43638</v>
      </c>
      <c r="C798" s="42">
        <v>2019</v>
      </c>
      <c r="D798" s="27" t="s">
        <v>664</v>
      </c>
      <c r="E798" s="27" t="s">
        <v>32</v>
      </c>
      <c r="F798" s="42" t="str" cm="1">
        <f t="array" ref="F798">_xlfn.IFS(E798="Bandung","BDG",E798="Surabaya","SBY",E798="Jakarta","JKT")</f>
        <v>JKT</v>
      </c>
      <c r="G798" s="27" t="s">
        <v>33</v>
      </c>
      <c r="H798" s="27" t="s">
        <v>99</v>
      </c>
      <c r="I798" s="27" t="s">
        <v>35</v>
      </c>
      <c r="J798" s="26" t="s">
        <v>1734</v>
      </c>
      <c r="K798" s="26">
        <v>43639</v>
      </c>
      <c r="L798" s="27">
        <f t="shared" si="74"/>
        <v>1</v>
      </c>
      <c r="M798" s="45">
        <v>95850</v>
      </c>
      <c r="N798" s="45">
        <v>299700</v>
      </c>
      <c r="O798" s="27">
        <v>139</v>
      </c>
      <c r="P798" s="46">
        <f t="shared" si="75"/>
        <v>0.68018018018018023</v>
      </c>
      <c r="Q798" s="27">
        <v>39</v>
      </c>
      <c r="R798" s="44">
        <f t="shared" si="72"/>
        <v>11688300</v>
      </c>
      <c r="S798" s="29">
        <v>0.05</v>
      </c>
      <c r="T798" s="44">
        <f t="shared" si="76"/>
        <v>11103885</v>
      </c>
      <c r="U798" s="44">
        <f t="shared" si="77"/>
        <v>7365735</v>
      </c>
      <c r="V798" s="44"/>
    </row>
    <row r="799" spans="1:22" ht="14.5" x14ac:dyDescent="0.35">
      <c r="A799" s="47" t="str">
        <f t="shared" si="73"/>
        <v>JKT-DS-E1028-2018</v>
      </c>
      <c r="B799" s="26">
        <v>43320</v>
      </c>
      <c r="C799" s="42">
        <v>2018</v>
      </c>
      <c r="D799" s="27" t="s">
        <v>576</v>
      </c>
      <c r="E799" s="27" t="s">
        <v>32</v>
      </c>
      <c r="F799" s="42" t="str" cm="1">
        <f t="array" ref="F799">_xlfn.IFS(E799="Bandung","BDG",E799="Surabaya","SBY",E799="Jakarta","JKT")</f>
        <v>JKT</v>
      </c>
      <c r="G799" s="27" t="s">
        <v>33</v>
      </c>
      <c r="H799" s="27" t="s">
        <v>123</v>
      </c>
      <c r="I799" s="27" t="s">
        <v>35</v>
      </c>
      <c r="J799" s="26">
        <v>43381</v>
      </c>
      <c r="K799" s="26">
        <v>43322</v>
      </c>
      <c r="L799" s="27">
        <f t="shared" si="74"/>
        <v>2</v>
      </c>
      <c r="M799" s="45">
        <v>208200</v>
      </c>
      <c r="N799" s="45">
        <v>335700</v>
      </c>
      <c r="O799" s="27">
        <v>40</v>
      </c>
      <c r="P799" s="46">
        <f t="shared" si="75"/>
        <v>0.37980339588918677</v>
      </c>
      <c r="Q799" s="27">
        <v>6</v>
      </c>
      <c r="R799" s="44">
        <f t="shared" si="72"/>
        <v>2014200</v>
      </c>
      <c r="S799" s="29">
        <v>0</v>
      </c>
      <c r="T799" s="44">
        <f t="shared" si="76"/>
        <v>2014200</v>
      </c>
      <c r="U799" s="44">
        <f t="shared" si="77"/>
        <v>765000</v>
      </c>
      <c r="V799" s="44"/>
    </row>
    <row r="800" spans="1:22" ht="14.5" x14ac:dyDescent="0.35">
      <c r="A800" s="47" t="str">
        <f t="shared" si="73"/>
        <v>JKT-DS-E1028-2018</v>
      </c>
      <c r="B800" s="26">
        <v>43410</v>
      </c>
      <c r="C800" s="42">
        <v>2018</v>
      </c>
      <c r="D800" s="27" t="s">
        <v>576</v>
      </c>
      <c r="E800" s="27" t="s">
        <v>32</v>
      </c>
      <c r="F800" s="42" t="str" cm="1">
        <f t="array" ref="F800">_xlfn.IFS(E800="Bandung","BDG",E800="Surabaya","SBY",E800="Jakarta","JKT")</f>
        <v>JKT</v>
      </c>
      <c r="G800" s="27" t="s">
        <v>33</v>
      </c>
      <c r="H800" s="27" t="s">
        <v>191</v>
      </c>
      <c r="I800" s="27" t="s">
        <v>35</v>
      </c>
      <c r="J800" s="26">
        <v>43354</v>
      </c>
      <c r="K800" s="26">
        <v>43413</v>
      </c>
      <c r="L800" s="27">
        <f t="shared" si="74"/>
        <v>3</v>
      </c>
      <c r="M800" s="45">
        <v>29700</v>
      </c>
      <c r="N800" s="45">
        <v>47250</v>
      </c>
      <c r="O800" s="27">
        <v>63</v>
      </c>
      <c r="P800" s="46">
        <f t="shared" si="75"/>
        <v>0.37142857142857144</v>
      </c>
      <c r="Q800" s="27">
        <v>17</v>
      </c>
      <c r="R800" s="44">
        <f t="shared" si="72"/>
        <v>803250</v>
      </c>
      <c r="S800" s="29">
        <v>0.05</v>
      </c>
      <c r="T800" s="44">
        <f t="shared" si="76"/>
        <v>763087.5</v>
      </c>
      <c r="U800" s="44">
        <f t="shared" si="77"/>
        <v>258187.5</v>
      </c>
      <c r="V800" s="44"/>
    </row>
    <row r="801" spans="1:22" ht="14.5" x14ac:dyDescent="0.35">
      <c r="A801" s="47" t="str">
        <f t="shared" si="73"/>
        <v>JKT-CS-E1028-2016</v>
      </c>
      <c r="B801" s="26">
        <v>42693</v>
      </c>
      <c r="C801" s="42">
        <v>2016</v>
      </c>
      <c r="D801" s="27" t="s">
        <v>230</v>
      </c>
      <c r="E801" s="27" t="s">
        <v>32</v>
      </c>
      <c r="F801" s="42" t="str" cm="1">
        <f t="array" ref="F801">_xlfn.IFS(E801="Bandung","BDG",E801="Surabaya","SBY",E801="Jakarta","JKT")</f>
        <v>JKT</v>
      </c>
      <c r="G801" s="27" t="s">
        <v>33</v>
      </c>
      <c r="H801" s="27" t="s">
        <v>231</v>
      </c>
      <c r="I801" s="27" t="s">
        <v>73</v>
      </c>
      <c r="J801" s="26">
        <v>42695</v>
      </c>
      <c r="K801" s="26">
        <v>42695</v>
      </c>
      <c r="L801" s="27">
        <f t="shared" si="74"/>
        <v>2</v>
      </c>
      <c r="M801" s="45">
        <v>21900</v>
      </c>
      <c r="N801" s="45">
        <v>53550</v>
      </c>
      <c r="O801" s="27">
        <v>42</v>
      </c>
      <c r="P801" s="46">
        <f t="shared" si="75"/>
        <v>0.59103641456582634</v>
      </c>
      <c r="Q801" s="27">
        <v>23</v>
      </c>
      <c r="R801" s="44">
        <f t="shared" si="72"/>
        <v>1231650</v>
      </c>
      <c r="S801" s="29">
        <v>0.09</v>
      </c>
      <c r="T801" s="44">
        <f t="shared" si="76"/>
        <v>1120801.5</v>
      </c>
      <c r="U801" s="44">
        <f t="shared" si="77"/>
        <v>617101.5</v>
      </c>
      <c r="V801" s="44"/>
    </row>
    <row r="802" spans="1:22" ht="14.5" x14ac:dyDescent="0.35">
      <c r="A802" s="47" t="str">
        <f t="shared" si="73"/>
        <v>SBY-CR-E1036-2016</v>
      </c>
      <c r="B802" s="26">
        <v>42560</v>
      </c>
      <c r="C802" s="42">
        <v>2016</v>
      </c>
      <c r="D802" s="27" t="s">
        <v>86</v>
      </c>
      <c r="E802" s="27" t="s">
        <v>41</v>
      </c>
      <c r="F802" s="42" t="str" cm="1">
        <f t="array" ref="F802">_xlfn.IFS(E802="Bandung","BDG",E802="Surabaya","SBY",E802="Jakarta","JKT")</f>
        <v>SBY</v>
      </c>
      <c r="G802" s="27" t="s">
        <v>78</v>
      </c>
      <c r="H802" s="27" t="s">
        <v>87</v>
      </c>
      <c r="I802" s="27" t="s">
        <v>35</v>
      </c>
      <c r="J802" s="26">
        <v>42620</v>
      </c>
      <c r="K802" s="26">
        <v>42560</v>
      </c>
      <c r="L802" s="27">
        <f t="shared" si="74"/>
        <v>0</v>
      </c>
      <c r="M802" s="45">
        <v>52800</v>
      </c>
      <c r="N802" s="45">
        <v>85200</v>
      </c>
      <c r="O802" s="27">
        <v>76</v>
      </c>
      <c r="P802" s="46">
        <f t="shared" si="75"/>
        <v>0.38028169014084506</v>
      </c>
      <c r="Q802" s="27">
        <v>24</v>
      </c>
      <c r="R802" s="44">
        <f t="shared" si="72"/>
        <v>2044800</v>
      </c>
      <c r="S802" s="29">
        <v>0.06</v>
      </c>
      <c r="T802" s="44">
        <f t="shared" si="76"/>
        <v>1922112</v>
      </c>
      <c r="U802" s="44">
        <f t="shared" si="77"/>
        <v>654912</v>
      </c>
      <c r="V802" s="44"/>
    </row>
    <row r="803" spans="1:22" ht="14.5" x14ac:dyDescent="0.35">
      <c r="A803" s="47" t="str">
        <f t="shared" si="73"/>
        <v>SBY-CR-E1036-2019</v>
      </c>
      <c r="B803" s="26">
        <v>43635</v>
      </c>
      <c r="C803" s="42">
        <v>2019</v>
      </c>
      <c r="D803" s="27" t="s">
        <v>86</v>
      </c>
      <c r="E803" s="27" t="s">
        <v>41</v>
      </c>
      <c r="F803" s="42" t="str" cm="1">
        <f t="array" ref="F803">_xlfn.IFS(E803="Bandung","BDG",E803="Surabaya","SBY",E803="Jakarta","JKT")</f>
        <v>SBY</v>
      </c>
      <c r="G803" s="27" t="s">
        <v>78</v>
      </c>
      <c r="H803" s="27" t="s">
        <v>282</v>
      </c>
      <c r="I803" s="27" t="s">
        <v>35</v>
      </c>
      <c r="J803" s="26">
        <v>43640</v>
      </c>
      <c r="K803" s="26">
        <v>43640</v>
      </c>
      <c r="L803" s="27">
        <f t="shared" si="74"/>
        <v>5</v>
      </c>
      <c r="M803" s="45">
        <v>619200</v>
      </c>
      <c r="N803" s="45">
        <v>1439850</v>
      </c>
      <c r="O803" s="27">
        <v>40</v>
      </c>
      <c r="P803" s="46">
        <f t="shared" si="75"/>
        <v>0.56995520366704866</v>
      </c>
      <c r="Q803" s="27">
        <v>40</v>
      </c>
      <c r="R803" s="44">
        <f t="shared" si="72"/>
        <v>57594000</v>
      </c>
      <c r="S803" s="29">
        <v>0.05</v>
      </c>
      <c r="T803" s="44">
        <f t="shared" si="76"/>
        <v>54714300</v>
      </c>
      <c r="U803" s="44">
        <f t="shared" si="77"/>
        <v>29946300</v>
      </c>
      <c r="V803" s="44"/>
    </row>
    <row r="804" spans="1:22" ht="14.5" x14ac:dyDescent="0.35">
      <c r="A804" s="47" t="str">
        <f t="shared" si="73"/>
        <v>SBY-CN-E1032-2018</v>
      </c>
      <c r="B804" s="26">
        <v>43135</v>
      </c>
      <c r="C804" s="42">
        <v>2018</v>
      </c>
      <c r="D804" s="27" t="s">
        <v>497</v>
      </c>
      <c r="E804" s="27" t="s">
        <v>41</v>
      </c>
      <c r="F804" s="42" t="str" cm="1">
        <f t="array" ref="F804">_xlfn.IFS(E804="Bandung","BDG",E804="Surabaya","SBY",E804="Jakarta","JKT")</f>
        <v>SBY</v>
      </c>
      <c r="G804" s="27" t="s">
        <v>53</v>
      </c>
      <c r="H804" s="27" t="s">
        <v>152</v>
      </c>
      <c r="I804" s="27" t="s">
        <v>35</v>
      </c>
      <c r="J804" s="26">
        <v>43137</v>
      </c>
      <c r="K804" s="26">
        <v>43253</v>
      </c>
      <c r="L804" s="27">
        <f t="shared" si="74"/>
        <v>118</v>
      </c>
      <c r="M804" s="45">
        <v>133800</v>
      </c>
      <c r="N804" s="45">
        <v>446100</v>
      </c>
      <c r="O804" s="27">
        <v>53</v>
      </c>
      <c r="P804" s="46">
        <f t="shared" si="75"/>
        <v>0.70006724949562882</v>
      </c>
      <c r="Q804" s="27">
        <v>19</v>
      </c>
      <c r="R804" s="44">
        <f t="shared" si="72"/>
        <v>8475900</v>
      </c>
      <c r="S804" s="29">
        <v>0.1</v>
      </c>
      <c r="T804" s="44">
        <f t="shared" si="76"/>
        <v>7628310</v>
      </c>
      <c r="U804" s="44">
        <f t="shared" si="77"/>
        <v>5086110</v>
      </c>
      <c r="V804" s="44"/>
    </row>
    <row r="805" spans="1:22" ht="14.5" x14ac:dyDescent="0.35">
      <c r="A805" s="47" t="str">
        <f t="shared" si="73"/>
        <v>SBY-CN-E1032-2020</v>
      </c>
      <c r="B805" s="26">
        <v>43868</v>
      </c>
      <c r="C805" s="42">
        <v>2020</v>
      </c>
      <c r="D805" s="27" t="s">
        <v>497</v>
      </c>
      <c r="E805" s="27" t="s">
        <v>41</v>
      </c>
      <c r="F805" s="42" t="str" cm="1">
        <f t="array" ref="F805">_xlfn.IFS(E805="Bandung","BDG",E805="Surabaya","SBY",E805="Jakarta","JKT")</f>
        <v>SBY</v>
      </c>
      <c r="G805" s="27" t="s">
        <v>53</v>
      </c>
      <c r="H805" s="27" t="s">
        <v>49</v>
      </c>
      <c r="I805" s="27" t="s">
        <v>39</v>
      </c>
      <c r="J805" s="26">
        <v>44076</v>
      </c>
      <c r="K805" s="26">
        <v>43870</v>
      </c>
      <c r="L805" s="27">
        <f t="shared" si="74"/>
        <v>2</v>
      </c>
      <c r="M805" s="45">
        <v>13500</v>
      </c>
      <c r="N805" s="45">
        <v>31500</v>
      </c>
      <c r="O805" s="27">
        <v>33</v>
      </c>
      <c r="P805" s="46">
        <f t="shared" si="75"/>
        <v>0.5714285714285714</v>
      </c>
      <c r="Q805" s="27">
        <v>33</v>
      </c>
      <c r="R805" s="44">
        <f t="shared" si="72"/>
        <v>1039500</v>
      </c>
      <c r="S805" s="29">
        <v>0.05</v>
      </c>
      <c r="T805" s="44">
        <f t="shared" si="76"/>
        <v>987525</v>
      </c>
      <c r="U805" s="44">
        <f t="shared" si="77"/>
        <v>542025</v>
      </c>
      <c r="V805" s="44"/>
    </row>
    <row r="806" spans="1:22" ht="14.5" x14ac:dyDescent="0.35">
      <c r="A806" s="47" t="str">
        <f t="shared" si="73"/>
        <v>SBY-CR-E1036-2019</v>
      </c>
      <c r="B806" s="26">
        <v>43711</v>
      </c>
      <c r="C806" s="42">
        <v>2019</v>
      </c>
      <c r="D806" s="27" t="s">
        <v>687</v>
      </c>
      <c r="E806" s="27" t="s">
        <v>41</v>
      </c>
      <c r="F806" s="42" t="str" cm="1">
        <f t="array" ref="F806">_xlfn.IFS(E806="Bandung","BDG",E806="Surabaya","SBY",E806="Jakarta","JKT")</f>
        <v>SBY</v>
      </c>
      <c r="G806" s="27" t="s">
        <v>78</v>
      </c>
      <c r="H806" s="27" t="s">
        <v>132</v>
      </c>
      <c r="I806" s="27" t="s">
        <v>73</v>
      </c>
      <c r="J806" s="26">
        <v>43564</v>
      </c>
      <c r="K806" s="26">
        <v>43712</v>
      </c>
      <c r="L806" s="27">
        <f t="shared" si="74"/>
        <v>1</v>
      </c>
      <c r="M806" s="45">
        <v>82500</v>
      </c>
      <c r="N806" s="45">
        <v>183300</v>
      </c>
      <c r="O806" s="27">
        <v>15</v>
      </c>
      <c r="P806" s="46">
        <f t="shared" si="75"/>
        <v>0.54991816693944351</v>
      </c>
      <c r="Q806" s="27">
        <v>10</v>
      </c>
      <c r="R806" s="44">
        <f t="shared" si="72"/>
        <v>1833000</v>
      </c>
      <c r="S806" s="29">
        <v>0.01</v>
      </c>
      <c r="T806" s="44">
        <f t="shared" si="76"/>
        <v>1814670</v>
      </c>
      <c r="U806" s="44">
        <f t="shared" si="77"/>
        <v>989670</v>
      </c>
      <c r="V806" s="44"/>
    </row>
    <row r="807" spans="1:22" ht="14.5" x14ac:dyDescent="0.35">
      <c r="A807" s="47" t="str">
        <f t="shared" si="73"/>
        <v>JKT-CM-E1029-2016</v>
      </c>
      <c r="B807" s="26">
        <v>42584</v>
      </c>
      <c r="C807" s="42">
        <v>2016</v>
      </c>
      <c r="D807" s="27" t="s">
        <v>91</v>
      </c>
      <c r="E807" s="27" t="s">
        <v>32</v>
      </c>
      <c r="F807" s="42" t="str" cm="1">
        <f t="array" ref="F807">_xlfn.IFS(E807="Bandung","BDG",E807="Surabaya","SBY",E807="Jakarta","JKT")</f>
        <v>JKT</v>
      </c>
      <c r="G807" s="27" t="s">
        <v>37</v>
      </c>
      <c r="H807" s="27" t="s">
        <v>92</v>
      </c>
      <c r="I807" s="27" t="s">
        <v>39</v>
      </c>
      <c r="J807" s="26">
        <v>42586</v>
      </c>
      <c r="K807" s="26">
        <v>42468</v>
      </c>
      <c r="L807" s="27">
        <f t="shared" si="74"/>
        <v>-116</v>
      </c>
      <c r="M807" s="45">
        <v>37800</v>
      </c>
      <c r="N807" s="45">
        <v>60000</v>
      </c>
      <c r="O807" s="27">
        <v>83</v>
      </c>
      <c r="P807" s="46">
        <f t="shared" si="75"/>
        <v>0.37</v>
      </c>
      <c r="Q807" s="27">
        <v>31</v>
      </c>
      <c r="R807" s="44">
        <f t="shared" si="72"/>
        <v>1860000</v>
      </c>
      <c r="S807" s="29">
        <v>0.01</v>
      </c>
      <c r="T807" s="44">
        <f t="shared" si="76"/>
        <v>1841400</v>
      </c>
      <c r="U807" s="44">
        <f t="shared" si="77"/>
        <v>669600</v>
      </c>
      <c r="V807" s="44"/>
    </row>
    <row r="808" spans="1:22" ht="14.5" x14ac:dyDescent="0.35">
      <c r="A808" s="47" t="str">
        <f t="shared" si="73"/>
        <v>JKT-CM-E1029-2018</v>
      </c>
      <c r="B808" s="26">
        <v>43404</v>
      </c>
      <c r="C808" s="42">
        <v>2018</v>
      </c>
      <c r="D808" s="27" t="s">
        <v>91</v>
      </c>
      <c r="E808" s="27" t="s">
        <v>32</v>
      </c>
      <c r="F808" s="42" t="str" cm="1">
        <f t="array" ref="F808">_xlfn.IFS(E808="Bandung","BDG",E808="Surabaya","SBY",E808="Jakarta","JKT")</f>
        <v>JKT</v>
      </c>
      <c r="G808" s="27" t="s">
        <v>37</v>
      </c>
      <c r="H808" s="27" t="s">
        <v>239</v>
      </c>
      <c r="I808" s="27" t="s">
        <v>35</v>
      </c>
      <c r="J808" s="26">
        <v>43405</v>
      </c>
      <c r="K808" s="26">
        <v>43111</v>
      </c>
      <c r="L808" s="27">
        <f t="shared" si="74"/>
        <v>-293</v>
      </c>
      <c r="M808" s="45">
        <v>52500</v>
      </c>
      <c r="N808" s="45">
        <v>86100</v>
      </c>
      <c r="O808" s="27">
        <v>83</v>
      </c>
      <c r="P808" s="46">
        <f t="shared" si="75"/>
        <v>0.3902439024390244</v>
      </c>
      <c r="Q808" s="27">
        <v>41</v>
      </c>
      <c r="R808" s="44">
        <f t="shared" si="72"/>
        <v>3530100</v>
      </c>
      <c r="S808" s="29">
        <v>0.08</v>
      </c>
      <c r="T808" s="44">
        <f t="shared" si="76"/>
        <v>3247692</v>
      </c>
      <c r="U808" s="44">
        <f t="shared" si="77"/>
        <v>1095192</v>
      </c>
      <c r="V808" s="44"/>
    </row>
    <row r="809" spans="1:22" ht="14.5" x14ac:dyDescent="0.35">
      <c r="A809" s="47" t="str">
        <f t="shared" si="73"/>
        <v>JKT-CM-E1029-2018</v>
      </c>
      <c r="B809" s="26">
        <v>43455</v>
      </c>
      <c r="C809" s="42">
        <v>2018</v>
      </c>
      <c r="D809" s="27" t="s">
        <v>91</v>
      </c>
      <c r="E809" s="27" t="s">
        <v>32</v>
      </c>
      <c r="F809" s="42" t="str" cm="1">
        <f t="array" ref="F809">_xlfn.IFS(E809="Bandung","BDG",E809="Surabaya","SBY",E809="Jakarta","JKT")</f>
        <v>JKT</v>
      </c>
      <c r="G809" s="27" t="s">
        <v>37</v>
      </c>
      <c r="H809" s="27" t="s">
        <v>204</v>
      </c>
      <c r="I809" s="27" t="s">
        <v>39</v>
      </c>
      <c r="J809" s="26">
        <v>43457</v>
      </c>
      <c r="K809" s="26">
        <v>43457</v>
      </c>
      <c r="L809" s="27">
        <f t="shared" si="74"/>
        <v>2</v>
      </c>
      <c r="M809" s="45">
        <v>3600</v>
      </c>
      <c r="N809" s="45">
        <v>18900</v>
      </c>
      <c r="O809" s="27">
        <v>66</v>
      </c>
      <c r="P809" s="46">
        <f t="shared" si="75"/>
        <v>0.80952380952380953</v>
      </c>
      <c r="Q809" s="27">
        <v>31</v>
      </c>
      <c r="R809" s="44">
        <f t="shared" si="72"/>
        <v>585900</v>
      </c>
      <c r="S809" s="29">
        <v>0.06</v>
      </c>
      <c r="T809" s="44">
        <f t="shared" si="76"/>
        <v>550746</v>
      </c>
      <c r="U809" s="44">
        <f t="shared" si="77"/>
        <v>439146</v>
      </c>
      <c r="V809" s="44"/>
    </row>
    <row r="810" spans="1:22" ht="14.5" x14ac:dyDescent="0.35">
      <c r="A810" s="47" t="str">
        <f t="shared" si="73"/>
        <v>JKT-CM-E1029-2020</v>
      </c>
      <c r="B810" s="26">
        <v>43843</v>
      </c>
      <c r="C810" s="42">
        <v>2020</v>
      </c>
      <c r="D810" s="27" t="s">
        <v>91</v>
      </c>
      <c r="E810" s="27" t="s">
        <v>32</v>
      </c>
      <c r="F810" s="42" t="str" cm="1">
        <f t="array" ref="F810">_xlfn.IFS(E810="Bandung","BDG",E810="Surabaya","SBY",E810="Jakarta","JKT")</f>
        <v>JKT</v>
      </c>
      <c r="G810" s="27" t="s">
        <v>37</v>
      </c>
      <c r="H810" s="27" t="s">
        <v>76</v>
      </c>
      <c r="I810" s="27" t="s">
        <v>35</v>
      </c>
      <c r="J810" s="26">
        <v>43845</v>
      </c>
      <c r="K810" s="26">
        <v>43845</v>
      </c>
      <c r="L810" s="27">
        <f t="shared" si="74"/>
        <v>2</v>
      </c>
      <c r="M810" s="45">
        <v>68850</v>
      </c>
      <c r="N810" s="45">
        <v>109200</v>
      </c>
      <c r="O810" s="27">
        <v>133</v>
      </c>
      <c r="P810" s="46">
        <f t="shared" si="75"/>
        <v>0.36950549450549453</v>
      </c>
      <c r="Q810" s="27">
        <v>50</v>
      </c>
      <c r="R810" s="44">
        <f t="shared" si="72"/>
        <v>5460000</v>
      </c>
      <c r="S810" s="29">
        <v>0.01</v>
      </c>
      <c r="T810" s="44">
        <f t="shared" si="76"/>
        <v>5405400</v>
      </c>
      <c r="U810" s="44">
        <f t="shared" si="77"/>
        <v>1962900</v>
      </c>
      <c r="V810" s="44"/>
    </row>
    <row r="811" spans="1:22" ht="14.5" x14ac:dyDescent="0.35">
      <c r="A811" s="47" t="str">
        <f t="shared" si="73"/>
        <v>SBY-CD-E1036-2016</v>
      </c>
      <c r="B811" s="26">
        <v>42734</v>
      </c>
      <c r="C811" s="42">
        <v>2016</v>
      </c>
      <c r="D811" s="27" t="s">
        <v>270</v>
      </c>
      <c r="E811" s="27" t="s">
        <v>41</v>
      </c>
      <c r="F811" s="42" t="str" cm="1">
        <f t="array" ref="F811">_xlfn.IFS(E811="Bandung","BDG",E811="Surabaya","SBY",E811="Jakarta","JKT")</f>
        <v>SBY</v>
      </c>
      <c r="G811" s="27" t="s">
        <v>78</v>
      </c>
      <c r="H811" s="27" t="s">
        <v>239</v>
      </c>
      <c r="I811" s="27" t="s">
        <v>35</v>
      </c>
      <c r="J811" s="26">
        <v>42736</v>
      </c>
      <c r="K811" s="26">
        <v>42736</v>
      </c>
      <c r="L811" s="27">
        <f t="shared" si="74"/>
        <v>2</v>
      </c>
      <c r="M811" s="45">
        <v>52500</v>
      </c>
      <c r="N811" s="45">
        <v>86100</v>
      </c>
      <c r="O811" s="27">
        <v>42</v>
      </c>
      <c r="P811" s="46">
        <f t="shared" si="75"/>
        <v>0.3902439024390244</v>
      </c>
      <c r="Q811" s="27">
        <v>3</v>
      </c>
      <c r="R811" s="44">
        <f t="shared" si="72"/>
        <v>258300</v>
      </c>
      <c r="S811" s="29">
        <v>0.08</v>
      </c>
      <c r="T811" s="44">
        <f t="shared" si="76"/>
        <v>237636</v>
      </c>
      <c r="U811" s="44">
        <f t="shared" si="77"/>
        <v>80136</v>
      </c>
      <c r="V811" s="44"/>
    </row>
    <row r="812" spans="1:22" ht="14.5" x14ac:dyDescent="0.35">
      <c r="A812" s="47" t="str">
        <f t="shared" si="73"/>
        <v>SBY-CF-E1039-2016</v>
      </c>
      <c r="B812" s="26">
        <v>42636</v>
      </c>
      <c r="C812" s="42">
        <v>2016</v>
      </c>
      <c r="D812" s="27" t="s">
        <v>170</v>
      </c>
      <c r="E812" s="27" t="s">
        <v>41</v>
      </c>
      <c r="F812" s="42" t="str" cm="1">
        <f t="array" ref="F812">_xlfn.IFS(E812="Bandung","BDG",E812="Surabaya","SBY",E812="Jakarta","JKT")</f>
        <v>SBY</v>
      </c>
      <c r="G812" s="27" t="s">
        <v>103</v>
      </c>
      <c r="H812" s="27" t="s">
        <v>171</v>
      </c>
      <c r="I812" s="27" t="s">
        <v>35</v>
      </c>
      <c r="J812" s="26">
        <v>42638</v>
      </c>
      <c r="K812" s="26">
        <v>42638</v>
      </c>
      <c r="L812" s="27">
        <f t="shared" si="74"/>
        <v>2</v>
      </c>
      <c r="M812" s="45">
        <v>297450</v>
      </c>
      <c r="N812" s="45">
        <v>464700</v>
      </c>
      <c r="O812" s="27">
        <v>49</v>
      </c>
      <c r="P812" s="46">
        <f t="shared" si="75"/>
        <v>0.35990961910910263</v>
      </c>
      <c r="Q812" s="27">
        <v>49</v>
      </c>
      <c r="R812" s="44">
        <f t="shared" si="72"/>
        <v>22770300</v>
      </c>
      <c r="S812" s="29">
        <v>0.09</v>
      </c>
      <c r="T812" s="44">
        <f t="shared" si="76"/>
        <v>20720973</v>
      </c>
      <c r="U812" s="44">
        <f t="shared" si="77"/>
        <v>6145923</v>
      </c>
      <c r="V812" s="44"/>
    </row>
    <row r="813" spans="1:22" ht="14.5" x14ac:dyDescent="0.35">
      <c r="A813" s="47" t="str">
        <f t="shared" si="73"/>
        <v>SBY-CF-E1039-2017</v>
      </c>
      <c r="B813" s="26">
        <v>43079</v>
      </c>
      <c r="C813" s="42">
        <v>2017</v>
      </c>
      <c r="D813" s="27" t="s">
        <v>170</v>
      </c>
      <c r="E813" s="27" t="s">
        <v>41</v>
      </c>
      <c r="F813" s="42" t="str" cm="1">
        <f t="array" ref="F813">_xlfn.IFS(E813="Bandung","BDG",E813="Surabaya","SBY",E813="Jakarta","JKT")</f>
        <v>SBY</v>
      </c>
      <c r="G813" s="27" t="s">
        <v>103</v>
      </c>
      <c r="H813" s="27" t="s">
        <v>211</v>
      </c>
      <c r="I813" s="27" t="s">
        <v>35</v>
      </c>
      <c r="J813" s="26" t="s">
        <v>1644</v>
      </c>
      <c r="K813" s="26">
        <v>43083</v>
      </c>
      <c r="L813" s="27">
        <f t="shared" si="74"/>
        <v>4</v>
      </c>
      <c r="M813" s="45">
        <v>97650</v>
      </c>
      <c r="N813" s="45">
        <v>464700</v>
      </c>
      <c r="O813" s="27">
        <v>74</v>
      </c>
      <c r="P813" s="46">
        <f t="shared" si="75"/>
        <v>0.78986442866365392</v>
      </c>
      <c r="Q813" s="27">
        <v>37</v>
      </c>
      <c r="R813" s="44">
        <f t="shared" si="72"/>
        <v>17193900</v>
      </c>
      <c r="S813" s="29">
        <v>0.03</v>
      </c>
      <c r="T813" s="44">
        <f t="shared" si="76"/>
        <v>16678083</v>
      </c>
      <c r="U813" s="44">
        <f t="shared" si="77"/>
        <v>13065033</v>
      </c>
      <c r="V813" s="44"/>
    </row>
    <row r="814" spans="1:22" ht="14.5" x14ac:dyDescent="0.35">
      <c r="A814" s="47" t="str">
        <f t="shared" si="73"/>
        <v>SBY-CF-E1039-2018</v>
      </c>
      <c r="B814" s="26">
        <v>43431</v>
      </c>
      <c r="C814" s="42">
        <v>2018</v>
      </c>
      <c r="D814" s="27" t="s">
        <v>170</v>
      </c>
      <c r="E814" s="27" t="s">
        <v>41</v>
      </c>
      <c r="F814" s="42" t="str" cm="1">
        <f t="array" ref="F814">_xlfn.IFS(E814="Bandung","BDG",E814="Surabaya","SBY",E814="Jakarta","JKT")</f>
        <v>SBY</v>
      </c>
      <c r="G814" s="27" t="s">
        <v>103</v>
      </c>
      <c r="H814" s="27" t="s">
        <v>239</v>
      </c>
      <c r="I814" s="27" t="s">
        <v>35</v>
      </c>
      <c r="J814" s="26" t="s">
        <v>1707</v>
      </c>
      <c r="K814" s="26">
        <v>43433</v>
      </c>
      <c r="L814" s="27">
        <f t="shared" si="74"/>
        <v>2</v>
      </c>
      <c r="M814" s="45">
        <v>52500</v>
      </c>
      <c r="N814" s="45">
        <v>86100</v>
      </c>
      <c r="O814" s="27">
        <v>39</v>
      </c>
      <c r="P814" s="46">
        <f t="shared" si="75"/>
        <v>0.3902439024390244</v>
      </c>
      <c r="Q814" s="27">
        <v>32</v>
      </c>
      <c r="R814" s="44">
        <f t="shared" si="72"/>
        <v>2755200</v>
      </c>
      <c r="S814" s="29">
        <v>0.08</v>
      </c>
      <c r="T814" s="44">
        <f t="shared" si="76"/>
        <v>2534784</v>
      </c>
      <c r="U814" s="44">
        <f t="shared" si="77"/>
        <v>854784</v>
      </c>
      <c r="V814" s="44"/>
    </row>
    <row r="815" spans="1:22" ht="14.5" x14ac:dyDescent="0.35">
      <c r="A815" s="47" t="str">
        <f t="shared" si="73"/>
        <v>SBY-CF-E1039-2019</v>
      </c>
      <c r="B815" s="26">
        <v>43723</v>
      </c>
      <c r="C815" s="42">
        <v>2019</v>
      </c>
      <c r="D815" s="27" t="s">
        <v>170</v>
      </c>
      <c r="E815" s="27" t="s">
        <v>41</v>
      </c>
      <c r="F815" s="42" t="str" cm="1">
        <f t="array" ref="F815">_xlfn.IFS(E815="Bandung","BDG",E815="Surabaya","SBY",E815="Jakarta","JKT")</f>
        <v>SBY</v>
      </c>
      <c r="G815" s="27" t="s">
        <v>103</v>
      </c>
      <c r="H815" s="27" t="s">
        <v>642</v>
      </c>
      <c r="I815" s="27" t="s">
        <v>39</v>
      </c>
      <c r="J815" s="26">
        <v>43725</v>
      </c>
      <c r="K815" s="26">
        <v>43725</v>
      </c>
      <c r="L815" s="27">
        <f t="shared" si="74"/>
        <v>2</v>
      </c>
      <c r="M815" s="45">
        <v>59250</v>
      </c>
      <c r="N815" s="45">
        <v>91200</v>
      </c>
      <c r="O815" s="27">
        <v>92</v>
      </c>
      <c r="P815" s="46">
        <f t="shared" si="75"/>
        <v>0.35032894736842107</v>
      </c>
      <c r="Q815" s="27">
        <v>50</v>
      </c>
      <c r="R815" s="44">
        <f t="shared" si="72"/>
        <v>4560000</v>
      </c>
      <c r="S815" s="29">
        <v>0.09</v>
      </c>
      <c r="T815" s="44">
        <f t="shared" si="76"/>
        <v>4149600</v>
      </c>
      <c r="U815" s="44">
        <f t="shared" si="77"/>
        <v>1187100</v>
      </c>
      <c r="V815" s="44"/>
    </row>
    <row r="816" spans="1:22" ht="14.5" x14ac:dyDescent="0.35">
      <c r="A816" s="47" t="str">
        <f t="shared" si="73"/>
        <v>SBY-CP-E1036-2018</v>
      </c>
      <c r="B816" s="26">
        <v>43189</v>
      </c>
      <c r="C816" s="42">
        <v>2018</v>
      </c>
      <c r="D816" s="27" t="s">
        <v>518</v>
      </c>
      <c r="E816" s="27" t="s">
        <v>41</v>
      </c>
      <c r="F816" s="42" t="str" cm="1">
        <f t="array" ref="F816">_xlfn.IFS(E816="Bandung","BDG",E816="Surabaya","SBY",E816="Jakarta","JKT")</f>
        <v>SBY</v>
      </c>
      <c r="G816" s="27" t="s">
        <v>78</v>
      </c>
      <c r="H816" s="27" t="s">
        <v>244</v>
      </c>
      <c r="I816" s="27" t="s">
        <v>35</v>
      </c>
      <c r="J816" s="26">
        <v>43191</v>
      </c>
      <c r="K816" s="26">
        <v>43104</v>
      </c>
      <c r="L816" s="27">
        <f t="shared" si="74"/>
        <v>-85</v>
      </c>
      <c r="M816" s="45">
        <v>32700.000000000004</v>
      </c>
      <c r="N816" s="45">
        <v>52800</v>
      </c>
      <c r="O816" s="27">
        <v>73</v>
      </c>
      <c r="P816" s="46">
        <f t="shared" si="75"/>
        <v>0.38068181818181812</v>
      </c>
      <c r="Q816" s="27">
        <v>23</v>
      </c>
      <c r="R816" s="44">
        <f t="shared" si="72"/>
        <v>1214400</v>
      </c>
      <c r="S816" s="29">
        <v>7.0000000000000007E-2</v>
      </c>
      <c r="T816" s="44">
        <f t="shared" si="76"/>
        <v>1129392</v>
      </c>
      <c r="U816" s="44">
        <f t="shared" si="77"/>
        <v>377291.99999999988</v>
      </c>
      <c r="V816" s="44"/>
    </row>
    <row r="817" spans="1:22" ht="14.5" x14ac:dyDescent="0.35">
      <c r="A817" s="47" t="str">
        <f t="shared" si="73"/>
        <v>BDG-CP-E1036-2016</v>
      </c>
      <c r="B817" s="26">
        <v>42616</v>
      </c>
      <c r="C817" s="42">
        <v>2016</v>
      </c>
      <c r="D817" s="27" t="s">
        <v>135</v>
      </c>
      <c r="E817" s="27" t="s">
        <v>136</v>
      </c>
      <c r="F817" s="42" t="str" cm="1">
        <f t="array" ref="F817">_xlfn.IFS(E817="Bandung","BDG",E817="Surabaya","SBY",E817="Jakarta","JKT")</f>
        <v>BDG</v>
      </c>
      <c r="G817" s="27" t="s">
        <v>78</v>
      </c>
      <c r="H817" s="27" t="s">
        <v>76</v>
      </c>
      <c r="I817" s="27" t="s">
        <v>35</v>
      </c>
      <c r="J817" s="26">
        <v>42469</v>
      </c>
      <c r="K817" s="26">
        <v>42617</v>
      </c>
      <c r="L817" s="27">
        <f t="shared" si="74"/>
        <v>1</v>
      </c>
      <c r="M817" s="45">
        <v>68850</v>
      </c>
      <c r="N817" s="45">
        <v>109200</v>
      </c>
      <c r="O817" s="27">
        <v>83</v>
      </c>
      <c r="P817" s="46">
        <f t="shared" si="75"/>
        <v>0.36950549450549453</v>
      </c>
      <c r="Q817" s="27">
        <v>2</v>
      </c>
      <c r="R817" s="44">
        <f t="shared" si="72"/>
        <v>218400</v>
      </c>
      <c r="S817" s="29">
        <v>0.08</v>
      </c>
      <c r="T817" s="44">
        <f t="shared" si="76"/>
        <v>200928</v>
      </c>
      <c r="U817" s="44">
        <f t="shared" si="77"/>
        <v>63228</v>
      </c>
      <c r="V817" s="44"/>
    </row>
    <row r="818" spans="1:22" ht="14.5" x14ac:dyDescent="0.35">
      <c r="A818" s="47" t="str">
        <f t="shared" si="73"/>
        <v>BDG-CP-E1036-2016</v>
      </c>
      <c r="B818" s="26">
        <v>42683</v>
      </c>
      <c r="C818" s="42">
        <v>2016</v>
      </c>
      <c r="D818" s="27" t="s">
        <v>135</v>
      </c>
      <c r="E818" s="27" t="s">
        <v>136</v>
      </c>
      <c r="F818" s="42" t="str" cm="1">
        <f t="array" ref="F818">_xlfn.IFS(E818="Bandung","BDG",E818="Surabaya","SBY",E818="Jakarta","JKT")</f>
        <v>BDG</v>
      </c>
      <c r="G818" s="27" t="s">
        <v>78</v>
      </c>
      <c r="H818" s="27" t="s">
        <v>219</v>
      </c>
      <c r="I818" s="27" t="s">
        <v>39</v>
      </c>
      <c r="J818" s="26">
        <v>42685</v>
      </c>
      <c r="K818" s="26">
        <v>42685</v>
      </c>
      <c r="L818" s="27">
        <f t="shared" si="74"/>
        <v>2</v>
      </c>
      <c r="M818" s="45">
        <v>29250</v>
      </c>
      <c r="N818" s="45">
        <v>59700</v>
      </c>
      <c r="O818" s="27">
        <v>30</v>
      </c>
      <c r="P818" s="46">
        <f t="shared" si="75"/>
        <v>0.51005025125628145</v>
      </c>
      <c r="Q818" s="27">
        <v>30</v>
      </c>
      <c r="R818" s="44">
        <f t="shared" si="72"/>
        <v>1791000</v>
      </c>
      <c r="S818" s="29">
        <v>0.1</v>
      </c>
      <c r="T818" s="44">
        <f t="shared" si="76"/>
        <v>1611900</v>
      </c>
      <c r="U818" s="44">
        <f t="shared" si="77"/>
        <v>734400</v>
      </c>
      <c r="V818" s="44"/>
    </row>
    <row r="819" spans="1:22" ht="14.5" x14ac:dyDescent="0.35">
      <c r="A819" s="47" t="str">
        <f t="shared" si="73"/>
        <v>BDG-CP-E1036-2018</v>
      </c>
      <c r="B819" s="26">
        <v>43284</v>
      </c>
      <c r="C819" s="42">
        <v>2018</v>
      </c>
      <c r="D819" s="27" t="s">
        <v>135</v>
      </c>
      <c r="E819" s="27" t="s">
        <v>136</v>
      </c>
      <c r="F819" s="42" t="str" cm="1">
        <f t="array" ref="F819">_xlfn.IFS(E819="Bandung","BDG",E819="Surabaya","SBY",E819="Jakarta","JKT")</f>
        <v>BDG</v>
      </c>
      <c r="G819" s="27" t="s">
        <v>78</v>
      </c>
      <c r="H819" s="27" t="s">
        <v>132</v>
      </c>
      <c r="I819" s="27" t="s">
        <v>73</v>
      </c>
      <c r="J819" s="26">
        <v>43291</v>
      </c>
      <c r="K819" s="26">
        <v>43380</v>
      </c>
      <c r="L819" s="27">
        <f t="shared" si="74"/>
        <v>96</v>
      </c>
      <c r="M819" s="45">
        <v>82500</v>
      </c>
      <c r="N819" s="45">
        <v>183300</v>
      </c>
      <c r="O819" s="27">
        <v>5</v>
      </c>
      <c r="P819" s="46">
        <f t="shared" si="75"/>
        <v>0.54991816693944351</v>
      </c>
      <c r="Q819" s="27">
        <v>5</v>
      </c>
      <c r="R819" s="44">
        <f t="shared" si="72"/>
        <v>916500</v>
      </c>
      <c r="S819" s="29">
        <v>0.04</v>
      </c>
      <c r="T819" s="44">
        <f t="shared" si="76"/>
        <v>879840</v>
      </c>
      <c r="U819" s="44">
        <f t="shared" si="77"/>
        <v>467340</v>
      </c>
      <c r="V819" s="44"/>
    </row>
    <row r="820" spans="1:22" ht="14.5" x14ac:dyDescent="0.35">
      <c r="A820" s="47" t="str">
        <f t="shared" si="73"/>
        <v>BDG-CP-E1036-2018</v>
      </c>
      <c r="B820" s="26">
        <v>43313</v>
      </c>
      <c r="C820" s="42">
        <v>2018</v>
      </c>
      <c r="D820" s="27" t="s">
        <v>135</v>
      </c>
      <c r="E820" s="27" t="s">
        <v>136</v>
      </c>
      <c r="F820" s="42" t="str" cm="1">
        <f t="array" ref="F820">_xlfn.IFS(E820="Bandung","BDG",E820="Surabaya","SBY",E820="Jakarta","JKT")</f>
        <v>BDG</v>
      </c>
      <c r="G820" s="27" t="s">
        <v>78</v>
      </c>
      <c r="H820" s="27" t="s">
        <v>99</v>
      </c>
      <c r="I820" s="27" t="s">
        <v>35</v>
      </c>
      <c r="J820" s="26">
        <v>43108</v>
      </c>
      <c r="K820" s="26">
        <v>43313</v>
      </c>
      <c r="L820" s="27">
        <f t="shared" si="74"/>
        <v>0</v>
      </c>
      <c r="M820" s="45">
        <v>95850</v>
      </c>
      <c r="N820" s="45">
        <v>299700</v>
      </c>
      <c r="O820" s="27">
        <v>100</v>
      </c>
      <c r="P820" s="46">
        <f t="shared" si="75"/>
        <v>0.68018018018018023</v>
      </c>
      <c r="Q820" s="27">
        <v>6</v>
      </c>
      <c r="R820" s="44">
        <f t="shared" si="72"/>
        <v>1798200</v>
      </c>
      <c r="S820" s="29">
        <v>0.08</v>
      </c>
      <c r="T820" s="44">
        <f t="shared" si="76"/>
        <v>1654344</v>
      </c>
      <c r="U820" s="44">
        <f t="shared" si="77"/>
        <v>1079244</v>
      </c>
      <c r="V820" s="44"/>
    </row>
    <row r="821" spans="1:22" ht="14.5" x14ac:dyDescent="0.35">
      <c r="A821" s="47" t="str">
        <f t="shared" si="73"/>
        <v>BDG-CP-E1036-2019</v>
      </c>
      <c r="B821" s="26">
        <v>43712</v>
      </c>
      <c r="C821" s="42">
        <v>2019</v>
      </c>
      <c r="D821" s="27" t="s">
        <v>135</v>
      </c>
      <c r="E821" s="27" t="s">
        <v>136</v>
      </c>
      <c r="F821" s="42" t="str" cm="1">
        <f t="array" ref="F821">_xlfn.IFS(E821="Bandung","BDG",E821="Surabaya","SBY",E821="Jakarta","JKT")</f>
        <v>BDG</v>
      </c>
      <c r="G821" s="27" t="s">
        <v>78</v>
      </c>
      <c r="H821" s="27" t="s">
        <v>216</v>
      </c>
      <c r="I821" s="27" t="s">
        <v>35</v>
      </c>
      <c r="J821" s="26">
        <v>43625</v>
      </c>
      <c r="K821" s="26">
        <v>43714</v>
      </c>
      <c r="L821" s="27">
        <f t="shared" si="74"/>
        <v>2</v>
      </c>
      <c r="M821" s="45">
        <v>66900</v>
      </c>
      <c r="N821" s="45">
        <v>163350</v>
      </c>
      <c r="O821" s="27">
        <v>38</v>
      </c>
      <c r="P821" s="46">
        <f t="shared" si="75"/>
        <v>0.59044995408631773</v>
      </c>
      <c r="Q821" s="27">
        <v>1</v>
      </c>
      <c r="R821" s="44">
        <f t="shared" si="72"/>
        <v>163350</v>
      </c>
      <c r="S821" s="29">
        <v>0</v>
      </c>
      <c r="T821" s="44">
        <f t="shared" si="76"/>
        <v>163350</v>
      </c>
      <c r="U821" s="44">
        <f t="shared" si="77"/>
        <v>96450</v>
      </c>
      <c r="V821" s="44"/>
    </row>
    <row r="822" spans="1:22" ht="14.5" x14ac:dyDescent="0.35">
      <c r="A822" s="47" t="str">
        <f t="shared" si="73"/>
        <v>SBY-CL-E1036-2017</v>
      </c>
      <c r="B822" s="26">
        <v>42961</v>
      </c>
      <c r="C822" s="42">
        <v>2017</v>
      </c>
      <c r="D822" s="27" t="s">
        <v>412</v>
      </c>
      <c r="E822" s="27" t="s">
        <v>41</v>
      </c>
      <c r="F822" s="42" t="str" cm="1">
        <f t="array" ref="F822">_xlfn.IFS(E822="Bandung","BDG",E822="Surabaya","SBY",E822="Jakarta","JKT")</f>
        <v>SBY</v>
      </c>
      <c r="G822" s="27" t="s">
        <v>78</v>
      </c>
      <c r="H822" s="27" t="s">
        <v>146</v>
      </c>
      <c r="I822" s="27" t="s">
        <v>39</v>
      </c>
      <c r="J822" s="26" t="s">
        <v>1619</v>
      </c>
      <c r="K822" s="26">
        <v>42962</v>
      </c>
      <c r="L822" s="27">
        <f t="shared" si="74"/>
        <v>1</v>
      </c>
      <c r="M822" s="45">
        <v>34350</v>
      </c>
      <c r="N822" s="45">
        <v>53700</v>
      </c>
      <c r="O822" s="27">
        <v>53</v>
      </c>
      <c r="P822" s="46">
        <f t="shared" si="75"/>
        <v>0.36033519553072624</v>
      </c>
      <c r="Q822" s="27">
        <v>15</v>
      </c>
      <c r="R822" s="44">
        <f t="shared" si="72"/>
        <v>805500</v>
      </c>
      <c r="S822" s="29">
        <v>0.05</v>
      </c>
      <c r="T822" s="44">
        <f t="shared" si="76"/>
        <v>765225</v>
      </c>
      <c r="U822" s="44">
        <f t="shared" si="77"/>
        <v>249975</v>
      </c>
      <c r="V822" s="44"/>
    </row>
    <row r="823" spans="1:22" ht="14.5" x14ac:dyDescent="0.35">
      <c r="A823" s="47" t="str">
        <f t="shared" si="73"/>
        <v>SBY-CL-E1036-2017</v>
      </c>
      <c r="B823" s="26">
        <v>43084</v>
      </c>
      <c r="C823" s="42">
        <v>2017</v>
      </c>
      <c r="D823" s="27" t="s">
        <v>412</v>
      </c>
      <c r="E823" s="27" t="s">
        <v>41</v>
      </c>
      <c r="F823" s="42" t="str" cm="1">
        <f t="array" ref="F823">_xlfn.IFS(E823="Bandung","BDG",E823="Surabaya","SBY",E823="Jakarta","JKT")</f>
        <v>SBY</v>
      </c>
      <c r="G823" s="27" t="s">
        <v>78</v>
      </c>
      <c r="H823" s="27" t="s">
        <v>105</v>
      </c>
      <c r="I823" s="27" t="s">
        <v>35</v>
      </c>
      <c r="J823" s="26" t="s">
        <v>1645</v>
      </c>
      <c r="K823" s="26">
        <v>43086</v>
      </c>
      <c r="L823" s="27">
        <f t="shared" si="74"/>
        <v>2</v>
      </c>
      <c r="M823" s="45">
        <v>151050</v>
      </c>
      <c r="N823" s="45">
        <v>239700</v>
      </c>
      <c r="O823" s="27">
        <v>35</v>
      </c>
      <c r="P823" s="46">
        <f t="shared" si="75"/>
        <v>0.36983729662077597</v>
      </c>
      <c r="Q823" s="27">
        <v>29</v>
      </c>
      <c r="R823" s="44">
        <f t="shared" si="72"/>
        <v>6951300</v>
      </c>
      <c r="S823" s="29">
        <v>0.04</v>
      </c>
      <c r="T823" s="44">
        <f t="shared" si="76"/>
        <v>6673248</v>
      </c>
      <c r="U823" s="44">
        <f t="shared" si="77"/>
        <v>2292798</v>
      </c>
      <c r="V823" s="44"/>
    </row>
    <row r="824" spans="1:22" ht="14.5" x14ac:dyDescent="0.35">
      <c r="A824" s="47" t="str">
        <f t="shared" si="73"/>
        <v>SBY-CP-E1036-2018</v>
      </c>
      <c r="B824" s="26">
        <v>43110</v>
      </c>
      <c r="C824" s="42">
        <v>2018</v>
      </c>
      <c r="D824" s="27" t="s">
        <v>486</v>
      </c>
      <c r="E824" s="27" t="s">
        <v>41</v>
      </c>
      <c r="F824" s="42" t="str" cm="1">
        <f t="array" ref="F824">_xlfn.IFS(E824="Bandung","BDG",E824="Surabaya","SBY",E824="Jakarta","JKT")</f>
        <v>SBY</v>
      </c>
      <c r="G824" s="27" t="s">
        <v>78</v>
      </c>
      <c r="H824" s="27" t="s">
        <v>113</v>
      </c>
      <c r="I824" s="27" t="s">
        <v>39</v>
      </c>
      <c r="J824" s="26">
        <v>43405</v>
      </c>
      <c r="K824" s="26">
        <v>43111</v>
      </c>
      <c r="L824" s="27">
        <f t="shared" si="74"/>
        <v>1</v>
      </c>
      <c r="M824" s="45">
        <v>52050</v>
      </c>
      <c r="N824" s="45">
        <v>100200</v>
      </c>
      <c r="O824" s="27">
        <v>28</v>
      </c>
      <c r="P824" s="46">
        <f t="shared" si="75"/>
        <v>0.48053892215568861</v>
      </c>
      <c r="Q824" s="27">
        <v>16</v>
      </c>
      <c r="R824" s="44">
        <f t="shared" si="72"/>
        <v>1603200</v>
      </c>
      <c r="S824" s="29">
        <v>0.1</v>
      </c>
      <c r="T824" s="44">
        <f t="shared" si="76"/>
        <v>1442880</v>
      </c>
      <c r="U824" s="44">
        <f t="shared" si="77"/>
        <v>610080</v>
      </c>
      <c r="V824" s="44"/>
    </row>
    <row r="825" spans="1:22" ht="14.5" x14ac:dyDescent="0.35">
      <c r="A825" s="47" t="str">
        <f t="shared" si="73"/>
        <v>SBY-CP-E1036-2018</v>
      </c>
      <c r="B825" s="26">
        <v>43449</v>
      </c>
      <c r="C825" s="42">
        <v>2018</v>
      </c>
      <c r="D825" s="27" t="s">
        <v>486</v>
      </c>
      <c r="E825" s="27" t="s">
        <v>41</v>
      </c>
      <c r="F825" s="42" t="str" cm="1">
        <f t="array" ref="F825">_xlfn.IFS(E825="Bandung","BDG",E825="Surabaya","SBY",E825="Jakarta","JKT")</f>
        <v>SBY</v>
      </c>
      <c r="G825" s="27" t="s">
        <v>78</v>
      </c>
      <c r="H825" s="27" t="s">
        <v>154</v>
      </c>
      <c r="I825" s="27" t="s">
        <v>35</v>
      </c>
      <c r="J825" s="26" t="s">
        <v>1710</v>
      </c>
      <c r="K825" s="26">
        <v>43452</v>
      </c>
      <c r="L825" s="27">
        <f t="shared" si="74"/>
        <v>3</v>
      </c>
      <c r="M825" s="45">
        <v>908850</v>
      </c>
      <c r="N825" s="45">
        <v>1514700</v>
      </c>
      <c r="O825" s="27">
        <v>71</v>
      </c>
      <c r="P825" s="46">
        <f t="shared" si="75"/>
        <v>0.39998019409784114</v>
      </c>
      <c r="Q825" s="27">
        <v>9</v>
      </c>
      <c r="R825" s="44">
        <f t="shared" si="72"/>
        <v>13632300</v>
      </c>
      <c r="S825" s="29">
        <v>0.1</v>
      </c>
      <c r="T825" s="44">
        <f t="shared" si="76"/>
        <v>12269070</v>
      </c>
      <c r="U825" s="44">
        <f t="shared" si="77"/>
        <v>4089420</v>
      </c>
      <c r="V825" s="44"/>
    </row>
    <row r="826" spans="1:22" ht="14.5" x14ac:dyDescent="0.35">
      <c r="A826" s="47" t="str">
        <f t="shared" si="73"/>
        <v>SBY-CP-E1036-2019</v>
      </c>
      <c r="B826" s="26">
        <v>43830</v>
      </c>
      <c r="C826" s="42">
        <v>2019</v>
      </c>
      <c r="D826" s="27" t="s">
        <v>486</v>
      </c>
      <c r="E826" s="27" t="s">
        <v>41</v>
      </c>
      <c r="F826" s="42" t="str" cm="1">
        <f t="array" ref="F826">_xlfn.IFS(E826="Bandung","BDG",E826="Surabaya","SBY",E826="Jakarta","JKT")</f>
        <v>SBY</v>
      </c>
      <c r="G826" s="27" t="s">
        <v>78</v>
      </c>
      <c r="H826" s="27" t="s">
        <v>99</v>
      </c>
      <c r="I826" s="27" t="s">
        <v>35</v>
      </c>
      <c r="J826" s="26">
        <v>43832</v>
      </c>
      <c r="K826" s="26">
        <v>43862</v>
      </c>
      <c r="L826" s="27">
        <f t="shared" si="74"/>
        <v>32</v>
      </c>
      <c r="M826" s="45">
        <v>95850</v>
      </c>
      <c r="N826" s="45">
        <v>299700</v>
      </c>
      <c r="O826" s="27">
        <v>94</v>
      </c>
      <c r="P826" s="46">
        <f t="shared" si="75"/>
        <v>0.68018018018018023</v>
      </c>
      <c r="Q826" s="27">
        <v>44</v>
      </c>
      <c r="R826" s="44">
        <f t="shared" si="72"/>
        <v>13186800</v>
      </c>
      <c r="S826" s="29">
        <v>0.03</v>
      </c>
      <c r="T826" s="44">
        <f t="shared" si="76"/>
        <v>12791196</v>
      </c>
      <c r="U826" s="44">
        <f t="shared" si="77"/>
        <v>8573796</v>
      </c>
      <c r="V826" s="44"/>
    </row>
    <row r="827" spans="1:22" ht="14.5" x14ac:dyDescent="0.35">
      <c r="A827" s="47" t="str">
        <f t="shared" si="73"/>
        <v>SBY-CF-E1033-2017</v>
      </c>
      <c r="B827" s="26">
        <v>42821</v>
      </c>
      <c r="C827" s="42">
        <v>2017</v>
      </c>
      <c r="D827" s="27" t="s">
        <v>328</v>
      </c>
      <c r="E827" s="27" t="s">
        <v>41</v>
      </c>
      <c r="F827" s="42" t="str" cm="1">
        <f t="array" ref="F827">_xlfn.IFS(E827="Bandung","BDG",E827="Surabaya","SBY",E827="Jakarta","JKT")</f>
        <v>SBY</v>
      </c>
      <c r="G827" s="27" t="s">
        <v>60</v>
      </c>
      <c r="H827" s="27" t="s">
        <v>329</v>
      </c>
      <c r="I827" s="27" t="s">
        <v>35</v>
      </c>
      <c r="J827" s="26" t="s">
        <v>1601</v>
      </c>
      <c r="K827" s="26">
        <v>42822</v>
      </c>
      <c r="L827" s="27">
        <f t="shared" si="74"/>
        <v>1</v>
      </c>
      <c r="M827" s="45">
        <v>56250</v>
      </c>
      <c r="N827" s="45">
        <v>86550</v>
      </c>
      <c r="O827" s="27">
        <v>9</v>
      </c>
      <c r="P827" s="46">
        <f t="shared" si="75"/>
        <v>0.35008665511265163</v>
      </c>
      <c r="Q827" s="27">
        <v>9</v>
      </c>
      <c r="R827" s="44">
        <f t="shared" si="72"/>
        <v>778950</v>
      </c>
      <c r="S827" s="29">
        <v>0</v>
      </c>
      <c r="T827" s="44">
        <f t="shared" si="76"/>
        <v>778950</v>
      </c>
      <c r="U827" s="44">
        <f t="shared" si="77"/>
        <v>272700</v>
      </c>
      <c r="V827" s="44"/>
    </row>
    <row r="828" spans="1:22" ht="14.5" x14ac:dyDescent="0.35">
      <c r="A828" s="47" t="str">
        <f t="shared" si="73"/>
        <v>SBY-CF-E1033-2018</v>
      </c>
      <c r="B828" s="26">
        <v>43165</v>
      </c>
      <c r="C828" s="42">
        <v>2018</v>
      </c>
      <c r="D828" s="27" t="s">
        <v>328</v>
      </c>
      <c r="E828" s="27" t="s">
        <v>41</v>
      </c>
      <c r="F828" s="42" t="str" cm="1">
        <f t="array" ref="F828">_xlfn.IFS(E828="Bandung","BDG",E828="Surabaya","SBY",E828="Jakarta","JKT")</f>
        <v>SBY</v>
      </c>
      <c r="G828" s="27" t="s">
        <v>60</v>
      </c>
      <c r="H828" s="27" t="s">
        <v>202</v>
      </c>
      <c r="I828" s="27" t="s">
        <v>39</v>
      </c>
      <c r="J828" s="26">
        <v>43315</v>
      </c>
      <c r="K828" s="26">
        <v>43167</v>
      </c>
      <c r="L828" s="27">
        <f t="shared" si="74"/>
        <v>2</v>
      </c>
      <c r="M828" s="45">
        <v>19650</v>
      </c>
      <c r="N828" s="45">
        <v>42600</v>
      </c>
      <c r="O828" s="27">
        <v>39</v>
      </c>
      <c r="P828" s="46">
        <f t="shared" si="75"/>
        <v>0.53873239436619713</v>
      </c>
      <c r="Q828" s="27">
        <v>39</v>
      </c>
      <c r="R828" s="44">
        <f t="shared" si="72"/>
        <v>1661400</v>
      </c>
      <c r="S828" s="29">
        <v>0.05</v>
      </c>
      <c r="T828" s="44">
        <f t="shared" si="76"/>
        <v>1578330</v>
      </c>
      <c r="U828" s="44">
        <f t="shared" si="77"/>
        <v>811980</v>
      </c>
      <c r="V828" s="44"/>
    </row>
    <row r="829" spans="1:22" ht="14.5" x14ac:dyDescent="0.35">
      <c r="A829" s="47" t="str">
        <f t="shared" si="73"/>
        <v>SBY-CF-E1033-2019</v>
      </c>
      <c r="B829" s="26">
        <v>43749</v>
      </c>
      <c r="C829" s="42">
        <v>2019</v>
      </c>
      <c r="D829" s="27" t="s">
        <v>328</v>
      </c>
      <c r="E829" s="27" t="s">
        <v>41</v>
      </c>
      <c r="F829" s="42" t="str" cm="1">
        <f t="array" ref="F829">_xlfn.IFS(E829="Bandung","BDG",E829="Surabaya","SBY",E829="Jakarta","JKT")</f>
        <v>SBY</v>
      </c>
      <c r="G829" s="27" t="s">
        <v>60</v>
      </c>
      <c r="H829" s="27" t="s">
        <v>225</v>
      </c>
      <c r="I829" s="27" t="s">
        <v>35</v>
      </c>
      <c r="J829" s="26" t="s">
        <v>1751</v>
      </c>
      <c r="K829" s="26">
        <v>43751</v>
      </c>
      <c r="L829" s="27">
        <f t="shared" si="74"/>
        <v>2</v>
      </c>
      <c r="M829" s="45">
        <v>27600</v>
      </c>
      <c r="N829" s="45">
        <v>43200</v>
      </c>
      <c r="O829" s="27">
        <v>62</v>
      </c>
      <c r="P829" s="46">
        <f t="shared" si="75"/>
        <v>0.3611111111111111</v>
      </c>
      <c r="Q829" s="27">
        <v>25</v>
      </c>
      <c r="R829" s="44">
        <f t="shared" si="72"/>
        <v>1080000</v>
      </c>
      <c r="S829" s="29">
        <v>0.04</v>
      </c>
      <c r="T829" s="44">
        <f t="shared" si="76"/>
        <v>1036800</v>
      </c>
      <c r="U829" s="44">
        <f t="shared" si="77"/>
        <v>346800</v>
      </c>
      <c r="V829" s="44"/>
    </row>
    <row r="830" spans="1:22" ht="14.5" x14ac:dyDescent="0.35">
      <c r="A830" s="47" t="str">
        <f t="shared" si="73"/>
        <v>SBY-CM-E1038-2018</v>
      </c>
      <c r="B830" s="26">
        <v>43249</v>
      </c>
      <c r="C830" s="42">
        <v>2018</v>
      </c>
      <c r="D830" s="27" t="s">
        <v>545</v>
      </c>
      <c r="E830" s="27" t="s">
        <v>41</v>
      </c>
      <c r="F830" s="42" t="str" cm="1">
        <f t="array" ref="F830">_xlfn.IFS(E830="Bandung","BDG",E830="Surabaya","SBY",E830="Jakarta","JKT")</f>
        <v>SBY</v>
      </c>
      <c r="G830" s="27" t="s">
        <v>98</v>
      </c>
      <c r="H830" s="27" t="s">
        <v>76</v>
      </c>
      <c r="I830" s="27" t="s">
        <v>35</v>
      </c>
      <c r="J830" s="26" t="s">
        <v>1671</v>
      </c>
      <c r="K830" s="26">
        <v>43250</v>
      </c>
      <c r="L830" s="27">
        <f t="shared" si="74"/>
        <v>1</v>
      </c>
      <c r="M830" s="45">
        <v>68850</v>
      </c>
      <c r="N830" s="45">
        <v>109200</v>
      </c>
      <c r="O830" s="27">
        <v>81</v>
      </c>
      <c r="P830" s="46">
        <f t="shared" si="75"/>
        <v>0.36950549450549453</v>
      </c>
      <c r="Q830" s="27">
        <v>5</v>
      </c>
      <c r="R830" s="44">
        <f t="shared" si="72"/>
        <v>546000</v>
      </c>
      <c r="S830" s="29">
        <v>0.05</v>
      </c>
      <c r="T830" s="44">
        <f t="shared" si="76"/>
        <v>518700</v>
      </c>
      <c r="U830" s="44">
        <f t="shared" si="77"/>
        <v>174450</v>
      </c>
      <c r="V830" s="44"/>
    </row>
    <row r="831" spans="1:22" ht="14.5" x14ac:dyDescent="0.35">
      <c r="A831" s="47" t="str">
        <f t="shared" si="73"/>
        <v>SBY-CW-E1038-2017</v>
      </c>
      <c r="B831" s="26">
        <v>43012</v>
      </c>
      <c r="C831" s="42">
        <v>2017</v>
      </c>
      <c r="D831" s="27" t="s">
        <v>437</v>
      </c>
      <c r="E831" s="27" t="s">
        <v>41</v>
      </c>
      <c r="F831" s="42" t="str" cm="1">
        <f t="array" ref="F831">_xlfn.IFS(E831="Bandung","BDG",E831="Surabaya","SBY",E831="Jakarta","JKT")</f>
        <v>SBY</v>
      </c>
      <c r="G831" s="27" t="s">
        <v>98</v>
      </c>
      <c r="H831" s="27" t="s">
        <v>247</v>
      </c>
      <c r="I831" s="27" t="s">
        <v>236</v>
      </c>
      <c r="J831" s="26">
        <v>43014</v>
      </c>
      <c r="K831" s="26">
        <v>42896</v>
      </c>
      <c r="L831" s="27">
        <f t="shared" si="74"/>
        <v>-116</v>
      </c>
      <c r="M831" s="45">
        <v>842400</v>
      </c>
      <c r="N831" s="45">
        <v>2054699.9999999998</v>
      </c>
      <c r="O831" s="27">
        <v>19</v>
      </c>
      <c r="P831" s="46">
        <f t="shared" si="75"/>
        <v>0.59001314060446775</v>
      </c>
      <c r="Q831" s="27">
        <v>17</v>
      </c>
      <c r="R831" s="44">
        <f t="shared" si="72"/>
        <v>34929899.999999993</v>
      </c>
      <c r="S831" s="29">
        <v>0</v>
      </c>
      <c r="T831" s="44">
        <f t="shared" si="76"/>
        <v>34929899.999999993</v>
      </c>
      <c r="U831" s="44">
        <f t="shared" si="77"/>
        <v>20609099.999999993</v>
      </c>
      <c r="V831" s="44"/>
    </row>
    <row r="832" spans="1:22" ht="14.5" x14ac:dyDescent="0.35">
      <c r="A832" s="47" t="str">
        <f t="shared" si="73"/>
        <v>SBY-CW-E1038-2018</v>
      </c>
      <c r="B832" s="26">
        <v>43457</v>
      </c>
      <c r="C832" s="42">
        <v>2018</v>
      </c>
      <c r="D832" s="27" t="s">
        <v>437</v>
      </c>
      <c r="E832" s="27" t="s">
        <v>41</v>
      </c>
      <c r="F832" s="42" t="str" cm="1">
        <f t="array" ref="F832">_xlfn.IFS(E832="Bandung","BDG",E832="Surabaya","SBY",E832="Jakarta","JKT")</f>
        <v>SBY</v>
      </c>
      <c r="G832" s="27" t="s">
        <v>98</v>
      </c>
      <c r="H832" s="27" t="s">
        <v>148</v>
      </c>
      <c r="I832" s="27" t="s">
        <v>35</v>
      </c>
      <c r="J832" s="26" t="s">
        <v>1714</v>
      </c>
      <c r="K832" s="26">
        <v>43458</v>
      </c>
      <c r="L832" s="27">
        <f t="shared" si="74"/>
        <v>1</v>
      </c>
      <c r="M832" s="45">
        <v>33750</v>
      </c>
      <c r="N832" s="45">
        <v>55350</v>
      </c>
      <c r="O832" s="27">
        <v>80</v>
      </c>
      <c r="P832" s="46">
        <f t="shared" si="75"/>
        <v>0.3902439024390244</v>
      </c>
      <c r="Q832" s="27">
        <v>23</v>
      </c>
      <c r="R832" s="44">
        <f t="shared" si="72"/>
        <v>1273050</v>
      </c>
      <c r="S832" s="29">
        <v>0.02</v>
      </c>
      <c r="T832" s="44">
        <f t="shared" si="76"/>
        <v>1247589</v>
      </c>
      <c r="U832" s="44">
        <f t="shared" si="77"/>
        <v>471339</v>
      </c>
      <c r="V832" s="44"/>
    </row>
    <row r="833" spans="1:22" ht="14.5" x14ac:dyDescent="0.35">
      <c r="A833" s="47" t="str">
        <f t="shared" si="73"/>
        <v>SBY-CA-E1037-2017</v>
      </c>
      <c r="B833" s="26">
        <v>42758</v>
      </c>
      <c r="C833" s="42">
        <v>2017</v>
      </c>
      <c r="D833" s="27" t="s">
        <v>285</v>
      </c>
      <c r="E833" s="27" t="s">
        <v>41</v>
      </c>
      <c r="F833" s="42" t="str" cm="1">
        <f t="array" ref="F833">_xlfn.IFS(E833="Bandung","BDG",E833="Surabaya","SBY",E833="Jakarta","JKT")</f>
        <v>SBY</v>
      </c>
      <c r="G833" s="27" t="s">
        <v>83</v>
      </c>
      <c r="H833" s="27" t="s">
        <v>56</v>
      </c>
      <c r="I833" s="27" t="s">
        <v>39</v>
      </c>
      <c r="J833" s="26">
        <v>42759</v>
      </c>
      <c r="K833" s="26">
        <v>42759</v>
      </c>
      <c r="L833" s="27">
        <f t="shared" si="74"/>
        <v>1</v>
      </c>
      <c r="M833" s="45">
        <v>16350.000000000002</v>
      </c>
      <c r="N833" s="45">
        <v>25200</v>
      </c>
      <c r="O833" s="27">
        <v>38</v>
      </c>
      <c r="P833" s="46">
        <f t="shared" si="75"/>
        <v>0.35119047619047611</v>
      </c>
      <c r="Q833" s="27">
        <v>38</v>
      </c>
      <c r="R833" s="44">
        <f t="shared" si="72"/>
        <v>957600</v>
      </c>
      <c r="S833" s="29">
        <v>7.0000000000000007E-2</v>
      </c>
      <c r="T833" s="44">
        <f t="shared" si="76"/>
        <v>890567.99999999988</v>
      </c>
      <c r="U833" s="44">
        <f t="shared" si="77"/>
        <v>269267.99999999977</v>
      </c>
      <c r="V833" s="44"/>
    </row>
    <row r="834" spans="1:22" ht="14.5" x14ac:dyDescent="0.35">
      <c r="A834" s="47" t="str">
        <f t="shared" si="73"/>
        <v>SBY-CA-E1037-2017</v>
      </c>
      <c r="B834" s="26">
        <v>42768</v>
      </c>
      <c r="C834" s="42">
        <v>2017</v>
      </c>
      <c r="D834" s="27" t="s">
        <v>285</v>
      </c>
      <c r="E834" s="27" t="s">
        <v>41</v>
      </c>
      <c r="F834" s="42" t="str" cm="1">
        <f t="array" ref="F834">_xlfn.IFS(E834="Bandung","BDG",E834="Surabaya","SBY",E834="Jakarta","JKT")</f>
        <v>SBY</v>
      </c>
      <c r="G834" s="27" t="s">
        <v>83</v>
      </c>
      <c r="H834" s="27" t="s">
        <v>138</v>
      </c>
      <c r="I834" s="27" t="s">
        <v>35</v>
      </c>
      <c r="J834" s="26">
        <v>42770</v>
      </c>
      <c r="K834" s="26">
        <v>42827</v>
      </c>
      <c r="L834" s="27">
        <f t="shared" si="74"/>
        <v>59</v>
      </c>
      <c r="M834" s="45">
        <v>17700</v>
      </c>
      <c r="N834" s="45">
        <v>28200</v>
      </c>
      <c r="O834" s="27">
        <v>52</v>
      </c>
      <c r="P834" s="46">
        <f t="shared" si="75"/>
        <v>0.37234042553191488</v>
      </c>
      <c r="Q834" s="27">
        <v>33</v>
      </c>
      <c r="R834" s="44">
        <f t="shared" si="72"/>
        <v>930600</v>
      </c>
      <c r="S834" s="29">
        <v>7.0000000000000007E-2</v>
      </c>
      <c r="T834" s="44">
        <f t="shared" si="76"/>
        <v>865458</v>
      </c>
      <c r="U834" s="44">
        <f t="shared" si="77"/>
        <v>281358</v>
      </c>
      <c r="V834" s="44"/>
    </row>
    <row r="835" spans="1:22" ht="14.5" x14ac:dyDescent="0.35">
      <c r="A835" s="47" t="str">
        <f t="shared" si="73"/>
        <v>SBY-CA-E1037-2017</v>
      </c>
      <c r="B835" s="26">
        <v>42892</v>
      </c>
      <c r="C835" s="42">
        <v>2017</v>
      </c>
      <c r="D835" s="27" t="s">
        <v>285</v>
      </c>
      <c r="E835" s="27" t="s">
        <v>41</v>
      </c>
      <c r="F835" s="42" t="str" cm="1">
        <f t="array" ref="F835">_xlfn.IFS(E835="Bandung","BDG",E835="Surabaya","SBY",E835="Jakarta","JKT")</f>
        <v>SBY</v>
      </c>
      <c r="G835" s="27" t="s">
        <v>83</v>
      </c>
      <c r="H835" s="27" t="s">
        <v>376</v>
      </c>
      <c r="I835" s="27" t="s">
        <v>73</v>
      </c>
      <c r="J835" s="26">
        <v>42922</v>
      </c>
      <c r="K835" s="26">
        <v>42893</v>
      </c>
      <c r="L835" s="27">
        <f t="shared" si="74"/>
        <v>1</v>
      </c>
      <c r="M835" s="45">
        <v>62850.000000000007</v>
      </c>
      <c r="N835" s="45">
        <v>153450</v>
      </c>
      <c r="O835" s="27">
        <v>25</v>
      </c>
      <c r="P835" s="46">
        <f t="shared" si="75"/>
        <v>0.59042033235581626</v>
      </c>
      <c r="Q835" s="27">
        <v>9</v>
      </c>
      <c r="R835" s="44">
        <f t="shared" si="72"/>
        <v>1381050</v>
      </c>
      <c r="S835" s="29">
        <v>7.0000000000000007E-2</v>
      </c>
      <c r="T835" s="44">
        <f t="shared" si="76"/>
        <v>1284376.5</v>
      </c>
      <c r="U835" s="44">
        <f t="shared" si="77"/>
        <v>718726.49999999988</v>
      </c>
      <c r="V835" s="44"/>
    </row>
    <row r="836" spans="1:22" ht="14.5" x14ac:dyDescent="0.35">
      <c r="A836" s="47" t="str">
        <f t="shared" si="73"/>
        <v>SBY-CD-E1031-2016</v>
      </c>
      <c r="B836" s="26">
        <v>42627</v>
      </c>
      <c r="C836" s="42">
        <v>2016</v>
      </c>
      <c r="D836" s="27" t="s">
        <v>157</v>
      </c>
      <c r="E836" s="27" t="s">
        <v>41</v>
      </c>
      <c r="F836" s="42" t="str" cm="1">
        <f t="array" ref="F836">_xlfn.IFS(E836="Bandung","BDG",E836="Surabaya","SBY",E836="Jakarta","JKT")</f>
        <v>SBY</v>
      </c>
      <c r="G836" s="27" t="s">
        <v>48</v>
      </c>
      <c r="H836" s="27" t="s">
        <v>158</v>
      </c>
      <c r="I836" s="27" t="s">
        <v>73</v>
      </c>
      <c r="J836" s="26" t="s">
        <v>1566</v>
      </c>
      <c r="K836" s="26">
        <v>42629</v>
      </c>
      <c r="L836" s="27">
        <f t="shared" si="74"/>
        <v>2</v>
      </c>
      <c r="M836" s="45">
        <v>302700</v>
      </c>
      <c r="N836" s="45">
        <v>531150</v>
      </c>
      <c r="O836" s="27">
        <v>38</v>
      </c>
      <c r="P836" s="46">
        <f t="shared" si="75"/>
        <v>0.43010449025698955</v>
      </c>
      <c r="Q836" s="27">
        <v>38</v>
      </c>
      <c r="R836" s="44">
        <f t="shared" ref="R836:R899" si="78">N836*Q836</f>
        <v>20183700</v>
      </c>
      <c r="S836" s="29">
        <v>0.03</v>
      </c>
      <c r="T836" s="44">
        <f t="shared" si="76"/>
        <v>19578189</v>
      </c>
      <c r="U836" s="44">
        <f t="shared" si="77"/>
        <v>8075589</v>
      </c>
      <c r="V836" s="44"/>
    </row>
    <row r="837" spans="1:22" ht="14.5" x14ac:dyDescent="0.35">
      <c r="A837" s="47" t="str">
        <f t="shared" ref="A837:A900" si="79">_xlfn.CONCAT(F837,"-",LEFT(D837,1),MID(D837,FIND(" ",D837)+1,1),"-",G837,"-",C837)</f>
        <v>JKT-CH-E1028-2018</v>
      </c>
      <c r="B837" s="26">
        <v>43410</v>
      </c>
      <c r="C837" s="42">
        <v>2018</v>
      </c>
      <c r="D837" s="27" t="s">
        <v>610</v>
      </c>
      <c r="E837" s="27" t="s">
        <v>32</v>
      </c>
      <c r="F837" s="42" t="str" cm="1">
        <f t="array" ref="F837">_xlfn.IFS(E837="Bandung","BDG",E837="Surabaya","SBY",E837="Jakarta","JKT")</f>
        <v>JKT</v>
      </c>
      <c r="G837" s="27" t="s">
        <v>33</v>
      </c>
      <c r="H837" s="27" t="s">
        <v>434</v>
      </c>
      <c r="I837" s="27" t="s">
        <v>39</v>
      </c>
      <c r="J837" s="26">
        <v>43292</v>
      </c>
      <c r="K837" s="26">
        <v>43411</v>
      </c>
      <c r="L837" s="27">
        <f t="shared" ref="L837:L900" si="80">K837-B837</f>
        <v>1</v>
      </c>
      <c r="M837" s="45">
        <v>28200</v>
      </c>
      <c r="N837" s="45">
        <v>47100</v>
      </c>
      <c r="O837" s="27">
        <v>43</v>
      </c>
      <c r="P837" s="46">
        <f t="shared" ref="P837:P900" si="81">(N837-M837)/N837</f>
        <v>0.40127388535031849</v>
      </c>
      <c r="Q837" s="27">
        <v>43</v>
      </c>
      <c r="R837" s="44">
        <f t="shared" si="78"/>
        <v>2025300</v>
      </c>
      <c r="S837" s="29">
        <v>7.0000000000000007E-2</v>
      </c>
      <c r="T837" s="44">
        <f t="shared" ref="T837:T900" si="82">R837*(1-S837)</f>
        <v>1883528.9999999998</v>
      </c>
      <c r="U837" s="44">
        <f t="shared" ref="U837:U900" si="83">T837-(M837*Q837)</f>
        <v>670928.99999999977</v>
      </c>
      <c r="V837" s="44"/>
    </row>
    <row r="838" spans="1:22" ht="14.5" x14ac:dyDescent="0.35">
      <c r="A838" s="47" t="str">
        <f t="shared" si="79"/>
        <v>JKT-CH-E1028-2018</v>
      </c>
      <c r="B838" s="26">
        <v>43410</v>
      </c>
      <c r="C838" s="42">
        <v>2018</v>
      </c>
      <c r="D838" s="27" t="s">
        <v>610</v>
      </c>
      <c r="E838" s="27" t="s">
        <v>32</v>
      </c>
      <c r="F838" s="42" t="str" cm="1">
        <f t="array" ref="F838">_xlfn.IFS(E838="Bandung","BDG",E838="Surabaya","SBY",E838="Jakarta","JKT")</f>
        <v>JKT</v>
      </c>
      <c r="G838" s="27" t="s">
        <v>33</v>
      </c>
      <c r="H838" s="27" t="s">
        <v>231</v>
      </c>
      <c r="I838" s="27" t="s">
        <v>73</v>
      </c>
      <c r="J838" s="26">
        <v>43412</v>
      </c>
      <c r="K838" s="26">
        <v>43323</v>
      </c>
      <c r="L838" s="27">
        <f t="shared" si="80"/>
        <v>-87</v>
      </c>
      <c r="M838" s="45">
        <v>21900</v>
      </c>
      <c r="N838" s="45">
        <v>53550</v>
      </c>
      <c r="O838" s="27">
        <v>19</v>
      </c>
      <c r="P838" s="46">
        <f t="shared" si="81"/>
        <v>0.59103641456582634</v>
      </c>
      <c r="Q838" s="27">
        <v>19</v>
      </c>
      <c r="R838" s="44">
        <f t="shared" si="78"/>
        <v>1017450</v>
      </c>
      <c r="S838" s="29">
        <v>0.08</v>
      </c>
      <c r="T838" s="44">
        <f t="shared" si="82"/>
        <v>936054</v>
      </c>
      <c r="U838" s="44">
        <f t="shared" si="83"/>
        <v>519954</v>
      </c>
      <c r="V838" s="44"/>
    </row>
    <row r="839" spans="1:22" ht="14.5" x14ac:dyDescent="0.35">
      <c r="A839" s="47" t="str">
        <f t="shared" si="79"/>
        <v>JKT-CH-E1028-2019</v>
      </c>
      <c r="B839" s="26">
        <v>43501</v>
      </c>
      <c r="C839" s="42">
        <v>2019</v>
      </c>
      <c r="D839" s="27" t="s">
        <v>610</v>
      </c>
      <c r="E839" s="27" t="s">
        <v>32</v>
      </c>
      <c r="F839" s="42" t="str" cm="1">
        <f t="array" ref="F839">_xlfn.IFS(E839="Bandung","BDG",E839="Surabaya","SBY",E839="Jakarta","JKT")</f>
        <v>JKT</v>
      </c>
      <c r="G839" s="27" t="s">
        <v>33</v>
      </c>
      <c r="H839" s="27" t="s">
        <v>293</v>
      </c>
      <c r="I839" s="27" t="s">
        <v>35</v>
      </c>
      <c r="J839" s="26">
        <v>43648</v>
      </c>
      <c r="K839" s="26">
        <v>43503</v>
      </c>
      <c r="L839" s="27">
        <f t="shared" si="80"/>
        <v>2</v>
      </c>
      <c r="M839" s="45">
        <v>67950</v>
      </c>
      <c r="N839" s="45">
        <v>109500</v>
      </c>
      <c r="O839" s="27">
        <v>46</v>
      </c>
      <c r="P839" s="46">
        <f t="shared" si="81"/>
        <v>0.37945205479452054</v>
      </c>
      <c r="Q839" s="27">
        <v>34</v>
      </c>
      <c r="R839" s="44">
        <f t="shared" si="78"/>
        <v>3723000</v>
      </c>
      <c r="S839" s="29">
        <v>0.03</v>
      </c>
      <c r="T839" s="44">
        <f t="shared" si="82"/>
        <v>3611310</v>
      </c>
      <c r="U839" s="44">
        <f t="shared" si="83"/>
        <v>1301010</v>
      </c>
      <c r="V839" s="44"/>
    </row>
    <row r="840" spans="1:22" ht="14.5" x14ac:dyDescent="0.35">
      <c r="A840" s="47" t="str">
        <f t="shared" si="79"/>
        <v>SBY-CN-E1032-2016</v>
      </c>
      <c r="B840" s="26">
        <v>42729</v>
      </c>
      <c r="C840" s="42">
        <v>2016</v>
      </c>
      <c r="D840" s="27" t="s">
        <v>266</v>
      </c>
      <c r="E840" s="27" t="s">
        <v>41</v>
      </c>
      <c r="F840" s="42" t="str" cm="1">
        <f t="array" ref="F840">_xlfn.IFS(E840="Bandung","BDG",E840="Surabaya","SBY",E840="Jakarta","JKT")</f>
        <v>SBY</v>
      </c>
      <c r="G840" s="27" t="s">
        <v>53</v>
      </c>
      <c r="H840" s="27" t="s">
        <v>267</v>
      </c>
      <c r="I840" s="27" t="s">
        <v>35</v>
      </c>
      <c r="J840" s="26">
        <v>42731</v>
      </c>
      <c r="K840" s="26">
        <v>42731</v>
      </c>
      <c r="L840" s="27">
        <f t="shared" si="80"/>
        <v>2</v>
      </c>
      <c r="M840" s="45">
        <v>631650</v>
      </c>
      <c r="N840" s="45">
        <v>1214700</v>
      </c>
      <c r="O840" s="27">
        <v>34</v>
      </c>
      <c r="P840" s="46">
        <f t="shared" si="81"/>
        <v>0.47999506050876761</v>
      </c>
      <c r="Q840" s="27">
        <v>34</v>
      </c>
      <c r="R840" s="44">
        <f t="shared" si="78"/>
        <v>41299800</v>
      </c>
      <c r="S840" s="29">
        <v>7.0000000000000007E-2</v>
      </c>
      <c r="T840" s="44">
        <f t="shared" si="82"/>
        <v>38408814</v>
      </c>
      <c r="U840" s="44">
        <f t="shared" si="83"/>
        <v>16932714</v>
      </c>
      <c r="V840" s="44"/>
    </row>
    <row r="841" spans="1:22" ht="14.5" x14ac:dyDescent="0.35">
      <c r="A841" s="47" t="str">
        <f t="shared" si="79"/>
        <v>SBY-CH-E1033-2017</v>
      </c>
      <c r="B841" s="26">
        <v>42838</v>
      </c>
      <c r="C841" s="42">
        <v>2017</v>
      </c>
      <c r="D841" s="27" t="s">
        <v>338</v>
      </c>
      <c r="E841" s="27" t="s">
        <v>41</v>
      </c>
      <c r="F841" s="42" t="str" cm="1">
        <f t="array" ref="F841">_xlfn.IFS(E841="Bandung","BDG",E841="Surabaya","SBY",E841="Jakarta","JKT")</f>
        <v>SBY</v>
      </c>
      <c r="G841" s="27" t="s">
        <v>60</v>
      </c>
      <c r="H841" s="27" t="s">
        <v>339</v>
      </c>
      <c r="I841" s="27" t="s">
        <v>73</v>
      </c>
      <c r="J841" s="26">
        <v>42839</v>
      </c>
      <c r="K841" s="26">
        <v>42839</v>
      </c>
      <c r="L841" s="27">
        <f t="shared" si="80"/>
        <v>1</v>
      </c>
      <c r="M841" s="45">
        <v>61499.999999999993</v>
      </c>
      <c r="N841" s="45">
        <v>139650</v>
      </c>
      <c r="O841" s="27">
        <v>18</v>
      </c>
      <c r="P841" s="46">
        <f t="shared" si="81"/>
        <v>0.55961331901181521</v>
      </c>
      <c r="Q841" s="27">
        <v>18</v>
      </c>
      <c r="R841" s="44">
        <f t="shared" si="78"/>
        <v>2513700</v>
      </c>
      <c r="S841" s="29">
        <v>0.01</v>
      </c>
      <c r="T841" s="44">
        <f t="shared" si="82"/>
        <v>2488563</v>
      </c>
      <c r="U841" s="44">
        <f t="shared" si="83"/>
        <v>1381563.0000000002</v>
      </c>
      <c r="V841" s="44"/>
    </row>
    <row r="842" spans="1:22" ht="14.5" x14ac:dyDescent="0.35">
      <c r="A842" s="47" t="str">
        <f t="shared" si="79"/>
        <v>SBY-CA-E1037-2016</v>
      </c>
      <c r="B842" s="26">
        <v>42622</v>
      </c>
      <c r="C842" s="42">
        <v>2016</v>
      </c>
      <c r="D842" s="27" t="s">
        <v>145</v>
      </c>
      <c r="E842" s="27" t="s">
        <v>41</v>
      </c>
      <c r="F842" s="42" t="str" cm="1">
        <f t="array" ref="F842">_xlfn.IFS(E842="Bandung","BDG",E842="Surabaya","SBY",E842="Jakarta","JKT")</f>
        <v>SBY</v>
      </c>
      <c r="G842" s="27" t="s">
        <v>83</v>
      </c>
      <c r="H842" s="27" t="s">
        <v>146</v>
      </c>
      <c r="I842" s="27" t="s">
        <v>39</v>
      </c>
      <c r="J842" s="26" t="s">
        <v>1565</v>
      </c>
      <c r="K842" s="26">
        <v>42626</v>
      </c>
      <c r="L842" s="27">
        <f t="shared" si="80"/>
        <v>4</v>
      </c>
      <c r="M842" s="45">
        <v>34350</v>
      </c>
      <c r="N842" s="45">
        <v>53700</v>
      </c>
      <c r="O842" s="27">
        <v>38</v>
      </c>
      <c r="P842" s="46">
        <f t="shared" si="81"/>
        <v>0.36033519553072624</v>
      </c>
      <c r="Q842" s="27">
        <v>38</v>
      </c>
      <c r="R842" s="44">
        <f t="shared" si="78"/>
        <v>2040600</v>
      </c>
      <c r="S842" s="29">
        <v>0.06</v>
      </c>
      <c r="T842" s="44">
        <f t="shared" si="82"/>
        <v>1918164</v>
      </c>
      <c r="U842" s="44">
        <f t="shared" si="83"/>
        <v>612864</v>
      </c>
      <c r="V842" s="44"/>
    </row>
    <row r="843" spans="1:22" ht="14.5" x14ac:dyDescent="0.35">
      <c r="A843" s="47" t="str">
        <f t="shared" si="79"/>
        <v>SBY-CA-E1037-2019</v>
      </c>
      <c r="B843" s="26">
        <v>43498</v>
      </c>
      <c r="C843" s="42">
        <v>2019</v>
      </c>
      <c r="D843" s="27" t="s">
        <v>145</v>
      </c>
      <c r="E843" s="27" t="s">
        <v>41</v>
      </c>
      <c r="F843" s="42" t="str" cm="1">
        <f t="array" ref="F843">_xlfn.IFS(E843="Bandung","BDG",E843="Surabaya","SBY",E843="Jakarta","JKT")</f>
        <v>SBY</v>
      </c>
      <c r="G843" s="27" t="s">
        <v>83</v>
      </c>
      <c r="H843" s="27" t="s">
        <v>398</v>
      </c>
      <c r="I843" s="27" t="s">
        <v>39</v>
      </c>
      <c r="J843" s="26">
        <v>43557</v>
      </c>
      <c r="K843" s="26">
        <v>43500</v>
      </c>
      <c r="L843" s="27">
        <f t="shared" si="80"/>
        <v>2</v>
      </c>
      <c r="M843" s="45">
        <v>31950</v>
      </c>
      <c r="N843" s="45">
        <v>52350</v>
      </c>
      <c r="O843" s="27">
        <v>49</v>
      </c>
      <c r="P843" s="46">
        <f t="shared" si="81"/>
        <v>0.38968481375358166</v>
      </c>
      <c r="Q843" s="27">
        <v>3</v>
      </c>
      <c r="R843" s="44">
        <f t="shared" si="78"/>
        <v>157050</v>
      </c>
      <c r="S843" s="29">
        <v>0.01</v>
      </c>
      <c r="T843" s="44">
        <f t="shared" si="82"/>
        <v>155479.5</v>
      </c>
      <c r="U843" s="44">
        <f t="shared" si="83"/>
        <v>59629.5</v>
      </c>
      <c r="V843" s="44"/>
    </row>
    <row r="844" spans="1:22" ht="14.5" x14ac:dyDescent="0.35">
      <c r="A844" s="47" t="str">
        <f t="shared" si="79"/>
        <v>SBY-CA-E1039-2018</v>
      </c>
      <c r="B844" s="26">
        <v>43239</v>
      </c>
      <c r="C844" s="42">
        <v>2018</v>
      </c>
      <c r="D844" s="27" t="s">
        <v>542</v>
      </c>
      <c r="E844" s="27" t="s">
        <v>41</v>
      </c>
      <c r="F844" s="42" t="str" cm="1">
        <f t="array" ref="F844">_xlfn.IFS(E844="Bandung","BDG",E844="Surabaya","SBY",E844="Jakarta","JKT")</f>
        <v>SBY</v>
      </c>
      <c r="G844" s="27" t="s">
        <v>103</v>
      </c>
      <c r="H844" s="27" t="s">
        <v>343</v>
      </c>
      <c r="I844" s="27" t="s">
        <v>39</v>
      </c>
      <c r="J844" s="26" t="s">
        <v>1666</v>
      </c>
      <c r="K844" s="26">
        <v>43241</v>
      </c>
      <c r="L844" s="27">
        <f t="shared" si="80"/>
        <v>2</v>
      </c>
      <c r="M844" s="45">
        <v>34650</v>
      </c>
      <c r="N844" s="45">
        <v>56700</v>
      </c>
      <c r="O844" s="27">
        <v>56</v>
      </c>
      <c r="P844" s="46">
        <f t="shared" si="81"/>
        <v>0.3888888888888889</v>
      </c>
      <c r="Q844" s="27">
        <v>34</v>
      </c>
      <c r="R844" s="44">
        <f t="shared" si="78"/>
        <v>1927800</v>
      </c>
      <c r="S844" s="29">
        <v>0.03</v>
      </c>
      <c r="T844" s="44">
        <f t="shared" si="82"/>
        <v>1869966</v>
      </c>
      <c r="U844" s="44">
        <f t="shared" si="83"/>
        <v>691866</v>
      </c>
      <c r="V844" s="44"/>
    </row>
    <row r="845" spans="1:22" ht="14.5" x14ac:dyDescent="0.35">
      <c r="A845" s="47" t="str">
        <f t="shared" si="79"/>
        <v>SBY-CW-E1030-2017</v>
      </c>
      <c r="B845" s="26">
        <v>42821</v>
      </c>
      <c r="C845" s="42">
        <v>2017</v>
      </c>
      <c r="D845" s="27" t="s">
        <v>330</v>
      </c>
      <c r="E845" s="27" t="s">
        <v>41</v>
      </c>
      <c r="F845" s="42" t="str" cm="1">
        <f t="array" ref="F845">_xlfn.IFS(E845="Bandung","BDG",E845="Surabaya","SBY",E845="Jakarta","JKT")</f>
        <v>SBY</v>
      </c>
      <c r="G845" s="27" t="s">
        <v>42</v>
      </c>
      <c r="H845" s="27" t="s">
        <v>331</v>
      </c>
      <c r="I845" s="27" t="s">
        <v>39</v>
      </c>
      <c r="J845" s="26">
        <v>42823</v>
      </c>
      <c r="K845" s="26">
        <v>42823</v>
      </c>
      <c r="L845" s="27">
        <f t="shared" si="80"/>
        <v>2</v>
      </c>
      <c r="M845" s="45">
        <v>28800</v>
      </c>
      <c r="N845" s="45">
        <v>48900</v>
      </c>
      <c r="O845" s="27">
        <v>75</v>
      </c>
      <c r="P845" s="46">
        <f t="shared" si="81"/>
        <v>0.41104294478527609</v>
      </c>
      <c r="Q845" s="27">
        <v>6</v>
      </c>
      <c r="R845" s="44">
        <f t="shared" si="78"/>
        <v>293400</v>
      </c>
      <c r="S845" s="29">
        <v>0.01</v>
      </c>
      <c r="T845" s="44">
        <f t="shared" si="82"/>
        <v>290466</v>
      </c>
      <c r="U845" s="44">
        <f t="shared" si="83"/>
        <v>117666</v>
      </c>
      <c r="V845" s="44"/>
    </row>
    <row r="846" spans="1:22" ht="14.5" x14ac:dyDescent="0.35">
      <c r="A846" s="47" t="str">
        <f t="shared" si="79"/>
        <v>SBY-CW-E1030-2020</v>
      </c>
      <c r="B846" s="26">
        <v>43910</v>
      </c>
      <c r="C846" s="42">
        <v>2020</v>
      </c>
      <c r="D846" s="27" t="s">
        <v>330</v>
      </c>
      <c r="E846" s="27" t="s">
        <v>41</v>
      </c>
      <c r="F846" s="42" t="str" cm="1">
        <f t="array" ref="F846">_xlfn.IFS(E846="Bandung","BDG",E846="Surabaya","SBY",E846="Jakarta","JKT")</f>
        <v>SBY</v>
      </c>
      <c r="G846" s="27" t="s">
        <v>42</v>
      </c>
      <c r="H846" s="27" t="s">
        <v>101</v>
      </c>
      <c r="I846" s="27" t="s">
        <v>35</v>
      </c>
      <c r="J846" s="26">
        <v>43912</v>
      </c>
      <c r="K846" s="26">
        <v>43912</v>
      </c>
      <c r="L846" s="27">
        <f t="shared" si="80"/>
        <v>2</v>
      </c>
      <c r="M846" s="45">
        <v>480300.00000000006</v>
      </c>
      <c r="N846" s="45">
        <v>2287200</v>
      </c>
      <c r="O846" s="27">
        <v>136</v>
      </c>
      <c r="P846" s="46">
        <f t="shared" si="81"/>
        <v>0.79000524658971671</v>
      </c>
      <c r="Q846" s="27">
        <v>46</v>
      </c>
      <c r="R846" s="44">
        <f t="shared" si="78"/>
        <v>105211200</v>
      </c>
      <c r="S846" s="29">
        <v>0.01</v>
      </c>
      <c r="T846" s="44">
        <f t="shared" si="82"/>
        <v>104159088</v>
      </c>
      <c r="U846" s="44">
        <f t="shared" si="83"/>
        <v>82065288</v>
      </c>
      <c r="V846" s="44"/>
    </row>
    <row r="847" spans="1:22" ht="14.5" x14ac:dyDescent="0.35">
      <c r="A847" s="47" t="str">
        <f t="shared" si="79"/>
        <v>SBY-CY-E1036-2016</v>
      </c>
      <c r="B847" s="26">
        <v>42625</v>
      </c>
      <c r="C847" s="42">
        <v>2016</v>
      </c>
      <c r="D847" s="27" t="s">
        <v>153</v>
      </c>
      <c r="E847" s="27" t="s">
        <v>41</v>
      </c>
      <c r="F847" s="42" t="str" cm="1">
        <f t="array" ref="F847">_xlfn.IFS(E847="Bandung","BDG",E847="Surabaya","SBY",E847="Jakarta","JKT")</f>
        <v>SBY</v>
      </c>
      <c r="G847" s="27" t="s">
        <v>78</v>
      </c>
      <c r="H847" s="27" t="s">
        <v>154</v>
      </c>
      <c r="I847" s="27" t="s">
        <v>35</v>
      </c>
      <c r="J847" s="26">
        <v>42627</v>
      </c>
      <c r="K847" s="26">
        <v>42627</v>
      </c>
      <c r="L847" s="27">
        <f t="shared" si="80"/>
        <v>2</v>
      </c>
      <c r="M847" s="45">
        <v>908850</v>
      </c>
      <c r="N847" s="45">
        <v>1514700</v>
      </c>
      <c r="O847" s="27">
        <v>62</v>
      </c>
      <c r="P847" s="46">
        <f t="shared" si="81"/>
        <v>0.39998019409784114</v>
      </c>
      <c r="Q847" s="27">
        <v>33</v>
      </c>
      <c r="R847" s="44">
        <f t="shared" si="78"/>
        <v>49985100</v>
      </c>
      <c r="S847" s="29">
        <v>0.05</v>
      </c>
      <c r="T847" s="44">
        <f t="shared" si="82"/>
        <v>47485845</v>
      </c>
      <c r="U847" s="44">
        <f t="shared" si="83"/>
        <v>17493795</v>
      </c>
      <c r="V847" s="44"/>
    </row>
    <row r="848" spans="1:22" ht="14.5" x14ac:dyDescent="0.35">
      <c r="A848" s="47" t="str">
        <f t="shared" si="79"/>
        <v>SBY-CY-E1036-2018</v>
      </c>
      <c r="B848" s="26">
        <v>43399</v>
      </c>
      <c r="C848" s="42">
        <v>2018</v>
      </c>
      <c r="D848" s="27" t="s">
        <v>153</v>
      </c>
      <c r="E848" s="27" t="s">
        <v>41</v>
      </c>
      <c r="F848" s="42" t="str" cm="1">
        <f t="array" ref="F848">_xlfn.IFS(E848="Bandung","BDG",E848="Surabaya","SBY",E848="Jakarta","JKT")</f>
        <v>SBY</v>
      </c>
      <c r="G848" s="27" t="s">
        <v>78</v>
      </c>
      <c r="H848" s="27" t="s">
        <v>156</v>
      </c>
      <c r="I848" s="27" t="s">
        <v>39</v>
      </c>
      <c r="J848" s="26">
        <v>43404</v>
      </c>
      <c r="K848" s="26">
        <v>43404</v>
      </c>
      <c r="L848" s="27">
        <f t="shared" si="80"/>
        <v>5</v>
      </c>
      <c r="M848" s="45">
        <v>52200</v>
      </c>
      <c r="N848" s="45">
        <v>81450</v>
      </c>
      <c r="O848" s="27">
        <v>59</v>
      </c>
      <c r="P848" s="46">
        <f t="shared" si="81"/>
        <v>0.35911602209944754</v>
      </c>
      <c r="Q848" s="27">
        <v>48</v>
      </c>
      <c r="R848" s="44">
        <f t="shared" si="78"/>
        <v>3909600</v>
      </c>
      <c r="S848" s="29">
        <v>0.05</v>
      </c>
      <c r="T848" s="44">
        <f t="shared" si="82"/>
        <v>3714120</v>
      </c>
      <c r="U848" s="44">
        <f t="shared" si="83"/>
        <v>1208520</v>
      </c>
      <c r="V848" s="44"/>
    </row>
    <row r="849" spans="1:22" ht="14.5" x14ac:dyDescent="0.35">
      <c r="A849" s="47" t="str">
        <f t="shared" si="79"/>
        <v>SBY-CY-E1036-2019</v>
      </c>
      <c r="B849" s="26">
        <v>43819</v>
      </c>
      <c r="C849" s="42">
        <v>2019</v>
      </c>
      <c r="D849" s="27" t="s">
        <v>153</v>
      </c>
      <c r="E849" s="27" t="s">
        <v>41</v>
      </c>
      <c r="F849" s="42" t="str" cm="1">
        <f t="array" ref="F849">_xlfn.IFS(E849="Bandung","BDG",E849="Surabaya","SBY",E849="Jakarta","JKT")</f>
        <v>SBY</v>
      </c>
      <c r="G849" s="27" t="s">
        <v>78</v>
      </c>
      <c r="H849" s="27" t="s">
        <v>331</v>
      </c>
      <c r="I849" s="27" t="s">
        <v>39</v>
      </c>
      <c r="J849" s="26">
        <v>43821</v>
      </c>
      <c r="K849" s="26">
        <v>43821</v>
      </c>
      <c r="L849" s="27">
        <f t="shared" si="80"/>
        <v>2</v>
      </c>
      <c r="M849" s="45">
        <v>28800</v>
      </c>
      <c r="N849" s="45">
        <v>48900</v>
      </c>
      <c r="O849" s="27">
        <v>69</v>
      </c>
      <c r="P849" s="46">
        <f t="shared" si="81"/>
        <v>0.41104294478527609</v>
      </c>
      <c r="Q849" s="27">
        <v>38</v>
      </c>
      <c r="R849" s="44">
        <f t="shared" si="78"/>
        <v>1858200</v>
      </c>
      <c r="S849" s="29">
        <v>0.02</v>
      </c>
      <c r="T849" s="44">
        <f t="shared" si="82"/>
        <v>1821036</v>
      </c>
      <c r="U849" s="44">
        <f t="shared" si="83"/>
        <v>726636</v>
      </c>
      <c r="V849" s="44"/>
    </row>
    <row r="850" spans="1:22" ht="14.5" x14ac:dyDescent="0.35">
      <c r="A850" s="47" t="str">
        <f t="shared" si="79"/>
        <v>SBY-CS-E1037-2018</v>
      </c>
      <c r="B850" s="26">
        <v>43281</v>
      </c>
      <c r="C850" s="42">
        <v>2018</v>
      </c>
      <c r="D850" s="27" t="s">
        <v>561</v>
      </c>
      <c r="E850" s="27" t="s">
        <v>41</v>
      </c>
      <c r="F850" s="42" t="str" cm="1">
        <f t="array" ref="F850">_xlfn.IFS(E850="Bandung","BDG",E850="Surabaya","SBY",E850="Jakarta","JKT")</f>
        <v>SBY</v>
      </c>
      <c r="G850" s="27" t="s">
        <v>83</v>
      </c>
      <c r="H850" s="27" t="s">
        <v>527</v>
      </c>
      <c r="I850" s="27" t="s">
        <v>73</v>
      </c>
      <c r="J850" s="26">
        <v>43284</v>
      </c>
      <c r="K850" s="26">
        <v>43166</v>
      </c>
      <c r="L850" s="27">
        <f t="shared" si="80"/>
        <v>-115</v>
      </c>
      <c r="M850" s="45">
        <v>43050</v>
      </c>
      <c r="N850" s="45">
        <v>102600</v>
      </c>
      <c r="O850" s="27">
        <v>35</v>
      </c>
      <c r="P850" s="46">
        <f t="shared" si="81"/>
        <v>0.58040935672514615</v>
      </c>
      <c r="Q850" s="27">
        <v>35</v>
      </c>
      <c r="R850" s="44">
        <f t="shared" si="78"/>
        <v>3591000</v>
      </c>
      <c r="S850" s="29">
        <v>0.02</v>
      </c>
      <c r="T850" s="44">
        <f t="shared" si="82"/>
        <v>3519180</v>
      </c>
      <c r="U850" s="44">
        <f t="shared" si="83"/>
        <v>2012430</v>
      </c>
      <c r="V850" s="44"/>
    </row>
    <row r="851" spans="1:22" ht="14.5" x14ac:dyDescent="0.35">
      <c r="A851" s="47" t="str">
        <f t="shared" si="79"/>
        <v>SBY-CS-E1037-2018</v>
      </c>
      <c r="B851" s="26">
        <v>43288</v>
      </c>
      <c r="C851" s="42">
        <v>2018</v>
      </c>
      <c r="D851" s="27" t="s">
        <v>561</v>
      </c>
      <c r="E851" s="27" t="s">
        <v>41</v>
      </c>
      <c r="F851" s="42" t="str" cm="1">
        <f t="array" ref="F851">_xlfn.IFS(E851="Bandung","BDG",E851="Surabaya","SBY",E851="Jakarta","JKT")</f>
        <v>SBY</v>
      </c>
      <c r="G851" s="27" t="s">
        <v>83</v>
      </c>
      <c r="H851" s="27" t="s">
        <v>227</v>
      </c>
      <c r="I851" s="27" t="s">
        <v>39</v>
      </c>
      <c r="J851" s="26">
        <v>43290</v>
      </c>
      <c r="K851" s="26">
        <v>43350</v>
      </c>
      <c r="L851" s="27">
        <f t="shared" si="80"/>
        <v>62</v>
      </c>
      <c r="M851" s="45">
        <v>22950</v>
      </c>
      <c r="N851" s="45">
        <v>41700</v>
      </c>
      <c r="O851" s="27">
        <v>130</v>
      </c>
      <c r="P851" s="46">
        <f t="shared" si="81"/>
        <v>0.44964028776978415</v>
      </c>
      <c r="Q851" s="27">
        <v>34</v>
      </c>
      <c r="R851" s="44">
        <f t="shared" si="78"/>
        <v>1417800</v>
      </c>
      <c r="S851" s="29">
        <v>0</v>
      </c>
      <c r="T851" s="44">
        <f t="shared" si="82"/>
        <v>1417800</v>
      </c>
      <c r="U851" s="44">
        <f t="shared" si="83"/>
        <v>637500</v>
      </c>
      <c r="V851" s="44"/>
    </row>
    <row r="852" spans="1:22" ht="14.5" x14ac:dyDescent="0.35">
      <c r="A852" s="47" t="str">
        <f t="shared" si="79"/>
        <v>SBY-CS-E1037-2019</v>
      </c>
      <c r="B852" s="26">
        <v>43544</v>
      </c>
      <c r="C852" s="42">
        <v>2019</v>
      </c>
      <c r="D852" s="27" t="s">
        <v>561</v>
      </c>
      <c r="E852" s="27" t="s">
        <v>41</v>
      </c>
      <c r="F852" s="42" t="str" cm="1">
        <f t="array" ref="F852">_xlfn.IFS(E852="Bandung","BDG",E852="Surabaya","SBY",E852="Jakarta","JKT")</f>
        <v>SBY</v>
      </c>
      <c r="G852" s="27" t="s">
        <v>83</v>
      </c>
      <c r="H852" s="27" t="s">
        <v>227</v>
      </c>
      <c r="I852" s="27" t="s">
        <v>39</v>
      </c>
      <c r="J852" s="26" t="s">
        <v>1723</v>
      </c>
      <c r="K852" s="26">
        <v>43546</v>
      </c>
      <c r="L852" s="27">
        <f t="shared" si="80"/>
        <v>2</v>
      </c>
      <c r="M852" s="45">
        <v>17550</v>
      </c>
      <c r="N852" s="45">
        <v>41700</v>
      </c>
      <c r="O852" s="27">
        <v>96</v>
      </c>
      <c r="P852" s="46">
        <f t="shared" si="81"/>
        <v>0.57913669064748197</v>
      </c>
      <c r="Q852" s="27">
        <v>39</v>
      </c>
      <c r="R852" s="44">
        <f t="shared" si="78"/>
        <v>1626300</v>
      </c>
      <c r="S852" s="29">
        <v>0.05</v>
      </c>
      <c r="T852" s="44">
        <f t="shared" si="82"/>
        <v>1544985</v>
      </c>
      <c r="U852" s="44">
        <f t="shared" si="83"/>
        <v>860535</v>
      </c>
      <c r="V852" s="44"/>
    </row>
    <row r="853" spans="1:22" ht="14.5" x14ac:dyDescent="0.35">
      <c r="A853" s="47" t="str">
        <f t="shared" si="79"/>
        <v>JKT-CR-E1028-2018</v>
      </c>
      <c r="B853" s="26">
        <v>43213</v>
      </c>
      <c r="C853" s="42">
        <v>2018</v>
      </c>
      <c r="D853" s="27" t="s">
        <v>531</v>
      </c>
      <c r="E853" s="27" t="s">
        <v>32</v>
      </c>
      <c r="F853" s="42" t="str" cm="1">
        <f t="array" ref="F853">_xlfn.IFS(E853="Bandung","BDG",E853="Surabaya","SBY",E853="Jakarta","JKT")</f>
        <v>JKT</v>
      </c>
      <c r="G853" s="27" t="s">
        <v>33</v>
      </c>
      <c r="H853" s="27" t="s">
        <v>414</v>
      </c>
      <c r="I853" s="27" t="s">
        <v>39</v>
      </c>
      <c r="J853" s="26">
        <v>43215</v>
      </c>
      <c r="K853" s="26">
        <v>43215</v>
      </c>
      <c r="L853" s="27">
        <f t="shared" si="80"/>
        <v>2</v>
      </c>
      <c r="M853" s="45">
        <v>13050</v>
      </c>
      <c r="N853" s="45">
        <v>27150</v>
      </c>
      <c r="O853" s="27">
        <v>65</v>
      </c>
      <c r="P853" s="46">
        <f t="shared" si="81"/>
        <v>0.51933701657458564</v>
      </c>
      <c r="Q853" s="27">
        <v>9</v>
      </c>
      <c r="R853" s="44">
        <f t="shared" si="78"/>
        <v>244350</v>
      </c>
      <c r="S853" s="29">
        <v>0.09</v>
      </c>
      <c r="T853" s="44">
        <f t="shared" si="82"/>
        <v>222358.5</v>
      </c>
      <c r="U853" s="44">
        <f t="shared" si="83"/>
        <v>104908.5</v>
      </c>
      <c r="V853" s="44"/>
    </row>
    <row r="854" spans="1:22" ht="14.5" x14ac:dyDescent="0.35">
      <c r="A854" s="47" t="str">
        <f t="shared" si="79"/>
        <v>JKT-CN-E1029-2017</v>
      </c>
      <c r="B854" s="26">
        <v>43009</v>
      </c>
      <c r="C854" s="42">
        <v>2017</v>
      </c>
      <c r="D854" s="27" t="s">
        <v>435</v>
      </c>
      <c r="E854" s="27" t="s">
        <v>32</v>
      </c>
      <c r="F854" s="42" t="str" cm="1">
        <f t="array" ref="F854">_xlfn.IFS(E854="Bandung","BDG",E854="Surabaya","SBY",E854="Jakarta","JKT")</f>
        <v>JKT</v>
      </c>
      <c r="G854" s="27" t="s">
        <v>37</v>
      </c>
      <c r="H854" s="27" t="s">
        <v>125</v>
      </c>
      <c r="I854" s="27" t="s">
        <v>39</v>
      </c>
      <c r="J854" s="26">
        <v>42804</v>
      </c>
      <c r="K854" s="26">
        <v>43011</v>
      </c>
      <c r="L854" s="27">
        <f t="shared" si="80"/>
        <v>2</v>
      </c>
      <c r="M854" s="45">
        <v>323400</v>
      </c>
      <c r="N854" s="45">
        <v>548250</v>
      </c>
      <c r="O854" s="27">
        <v>50</v>
      </c>
      <c r="P854" s="46">
        <f t="shared" si="81"/>
        <v>0.41012311901504789</v>
      </c>
      <c r="Q854" s="27">
        <v>48</v>
      </c>
      <c r="R854" s="44">
        <f t="shared" si="78"/>
        <v>26316000</v>
      </c>
      <c r="S854" s="29">
        <v>7.0000000000000007E-2</v>
      </c>
      <c r="T854" s="44">
        <f t="shared" si="82"/>
        <v>24473880</v>
      </c>
      <c r="U854" s="44">
        <f t="shared" si="83"/>
        <v>8950680</v>
      </c>
      <c r="V854" s="44"/>
    </row>
    <row r="855" spans="1:22" ht="14.5" x14ac:dyDescent="0.35">
      <c r="A855" s="47" t="str">
        <f t="shared" si="79"/>
        <v>SBY-CH-E1037-2016</v>
      </c>
      <c r="B855" s="26">
        <v>42601</v>
      </c>
      <c r="C855" s="42">
        <v>2016</v>
      </c>
      <c r="D855" s="27" t="s">
        <v>117</v>
      </c>
      <c r="E855" s="27" t="s">
        <v>41</v>
      </c>
      <c r="F855" s="42" t="str" cm="1">
        <f t="array" ref="F855">_xlfn.IFS(E855="Bandung","BDG",E855="Surabaya","SBY",E855="Jakarta","JKT")</f>
        <v>SBY</v>
      </c>
      <c r="G855" s="27" t="s">
        <v>83</v>
      </c>
      <c r="H855" s="27" t="s">
        <v>107</v>
      </c>
      <c r="I855" s="27" t="s">
        <v>73</v>
      </c>
      <c r="J855" s="26">
        <v>42603</v>
      </c>
      <c r="K855" s="26">
        <v>42603</v>
      </c>
      <c r="L855" s="27">
        <f t="shared" si="80"/>
        <v>2</v>
      </c>
      <c r="M855" s="45">
        <v>71850</v>
      </c>
      <c r="N855" s="45">
        <v>179550</v>
      </c>
      <c r="O855" s="27">
        <v>26</v>
      </c>
      <c r="P855" s="46">
        <f t="shared" si="81"/>
        <v>0.59983291562238927</v>
      </c>
      <c r="Q855" s="27">
        <v>18</v>
      </c>
      <c r="R855" s="44">
        <f t="shared" si="78"/>
        <v>3231900</v>
      </c>
      <c r="S855" s="29">
        <v>0.08</v>
      </c>
      <c r="T855" s="44">
        <f t="shared" si="82"/>
        <v>2973348</v>
      </c>
      <c r="U855" s="44">
        <f t="shared" si="83"/>
        <v>1680048</v>
      </c>
      <c r="V855" s="44"/>
    </row>
    <row r="856" spans="1:22" ht="14.5" x14ac:dyDescent="0.35">
      <c r="A856" s="47" t="str">
        <f t="shared" si="79"/>
        <v>SBY-CH-E1037-2018</v>
      </c>
      <c r="B856" s="26">
        <v>43428</v>
      </c>
      <c r="C856" s="42">
        <v>2018</v>
      </c>
      <c r="D856" s="27" t="s">
        <v>117</v>
      </c>
      <c r="E856" s="27" t="s">
        <v>41</v>
      </c>
      <c r="F856" s="42" t="str" cm="1">
        <f t="array" ref="F856">_xlfn.IFS(E856="Bandung","BDG",E856="Surabaya","SBY",E856="Jakarta","JKT")</f>
        <v>SBY</v>
      </c>
      <c r="G856" s="27" t="s">
        <v>83</v>
      </c>
      <c r="H856" s="27" t="s">
        <v>211</v>
      </c>
      <c r="I856" s="27" t="s">
        <v>35</v>
      </c>
      <c r="J856" s="26" t="s">
        <v>1706</v>
      </c>
      <c r="K856" s="26">
        <v>43431</v>
      </c>
      <c r="L856" s="27">
        <f t="shared" si="80"/>
        <v>3</v>
      </c>
      <c r="M856" s="45">
        <v>97650</v>
      </c>
      <c r="N856" s="45">
        <v>464700</v>
      </c>
      <c r="O856" s="27">
        <v>37</v>
      </c>
      <c r="P856" s="46">
        <f t="shared" si="81"/>
        <v>0.78986442866365392</v>
      </c>
      <c r="Q856" s="27">
        <v>8</v>
      </c>
      <c r="R856" s="44">
        <f t="shared" si="78"/>
        <v>3717600</v>
      </c>
      <c r="S856" s="29">
        <v>0.06</v>
      </c>
      <c r="T856" s="44">
        <f t="shared" si="82"/>
        <v>3494544</v>
      </c>
      <c r="U856" s="44">
        <f t="shared" si="83"/>
        <v>2713344</v>
      </c>
      <c r="V856" s="44"/>
    </row>
    <row r="857" spans="1:22" ht="14.5" x14ac:dyDescent="0.35">
      <c r="A857" s="47" t="str">
        <f t="shared" si="79"/>
        <v>SBY-CH-E1037-2020</v>
      </c>
      <c r="B857" s="26">
        <v>43903</v>
      </c>
      <c r="C857" s="42">
        <v>2020</v>
      </c>
      <c r="D857" s="27" t="s">
        <v>117</v>
      </c>
      <c r="E857" s="27" t="s">
        <v>41</v>
      </c>
      <c r="F857" s="42" t="str" cm="1">
        <f t="array" ref="F857">_xlfn.IFS(E857="Bandung","BDG",E857="Surabaya","SBY",E857="Jakarta","JKT")</f>
        <v>SBY</v>
      </c>
      <c r="G857" s="27" t="s">
        <v>83</v>
      </c>
      <c r="H857" s="27" t="s">
        <v>530</v>
      </c>
      <c r="I857" s="27" t="s">
        <v>39</v>
      </c>
      <c r="J857" s="26">
        <v>43904</v>
      </c>
      <c r="K857" s="26">
        <v>43904</v>
      </c>
      <c r="L857" s="27">
        <f t="shared" si="80"/>
        <v>1</v>
      </c>
      <c r="M857" s="45">
        <v>40200</v>
      </c>
      <c r="N857" s="45">
        <v>91200</v>
      </c>
      <c r="O857" s="27">
        <v>49</v>
      </c>
      <c r="P857" s="46">
        <f t="shared" si="81"/>
        <v>0.55921052631578949</v>
      </c>
      <c r="Q857" s="27">
        <v>49</v>
      </c>
      <c r="R857" s="44">
        <f t="shared" si="78"/>
        <v>4468800</v>
      </c>
      <c r="S857" s="29">
        <v>0.08</v>
      </c>
      <c r="T857" s="44">
        <f t="shared" si="82"/>
        <v>4111296</v>
      </c>
      <c r="U857" s="44">
        <f t="shared" si="83"/>
        <v>2141496</v>
      </c>
      <c r="V857" s="44"/>
    </row>
    <row r="858" spans="1:22" ht="14.5" x14ac:dyDescent="0.35">
      <c r="A858" s="47" t="str">
        <f t="shared" si="79"/>
        <v>SBY-CW-E1034-2018</v>
      </c>
      <c r="B858" s="26">
        <v>43339</v>
      </c>
      <c r="C858" s="42">
        <v>2018</v>
      </c>
      <c r="D858" s="27" t="s">
        <v>585</v>
      </c>
      <c r="E858" s="27" t="s">
        <v>41</v>
      </c>
      <c r="F858" s="42" t="str" cm="1">
        <f t="array" ref="F858">_xlfn.IFS(E858="Bandung","BDG",E858="Surabaya","SBY",E858="Jakarta","JKT")</f>
        <v>SBY</v>
      </c>
      <c r="G858" s="27" t="s">
        <v>65</v>
      </c>
      <c r="H858" s="27" t="s">
        <v>251</v>
      </c>
      <c r="I858" s="27" t="s">
        <v>73</v>
      </c>
      <c r="J858" s="26">
        <v>43341</v>
      </c>
      <c r="K858" s="26">
        <v>43341</v>
      </c>
      <c r="L858" s="27">
        <f t="shared" si="80"/>
        <v>2</v>
      </c>
      <c r="M858" s="45">
        <v>77850</v>
      </c>
      <c r="N858" s="45">
        <v>194700</v>
      </c>
      <c r="O858" s="27">
        <v>76</v>
      </c>
      <c r="P858" s="46">
        <f t="shared" si="81"/>
        <v>0.60015408320493069</v>
      </c>
      <c r="Q858" s="27">
        <v>23</v>
      </c>
      <c r="R858" s="44">
        <f t="shared" si="78"/>
        <v>4478100</v>
      </c>
      <c r="S858" s="29">
        <v>0.01</v>
      </c>
      <c r="T858" s="44">
        <f t="shared" si="82"/>
        <v>4433319</v>
      </c>
      <c r="U858" s="44">
        <f t="shared" si="83"/>
        <v>2642769</v>
      </c>
      <c r="V858" s="44"/>
    </row>
    <row r="859" spans="1:22" ht="14.5" x14ac:dyDescent="0.35">
      <c r="A859" s="47" t="str">
        <f t="shared" si="79"/>
        <v>SBY-CW-E1040-2017</v>
      </c>
      <c r="B859" s="26">
        <v>43054</v>
      </c>
      <c r="C859" s="42">
        <v>2017</v>
      </c>
      <c r="D859" s="27" t="s">
        <v>465</v>
      </c>
      <c r="E859" s="27" t="s">
        <v>41</v>
      </c>
      <c r="F859" s="42" t="str" cm="1">
        <f t="array" ref="F859">_xlfn.IFS(E859="Bandung","BDG",E859="Surabaya","SBY",E859="Jakarta","JKT")</f>
        <v>SBY</v>
      </c>
      <c r="G859" s="27" t="s">
        <v>160</v>
      </c>
      <c r="H859" s="27" t="s">
        <v>239</v>
      </c>
      <c r="I859" s="27" t="s">
        <v>35</v>
      </c>
      <c r="J859" s="26" t="s">
        <v>1639</v>
      </c>
      <c r="K859" s="26">
        <v>43055</v>
      </c>
      <c r="L859" s="27">
        <f t="shared" si="80"/>
        <v>1</v>
      </c>
      <c r="M859" s="45">
        <v>52500</v>
      </c>
      <c r="N859" s="45">
        <v>86100</v>
      </c>
      <c r="O859" s="27">
        <v>7</v>
      </c>
      <c r="P859" s="46">
        <f t="shared" si="81"/>
        <v>0.3902439024390244</v>
      </c>
      <c r="Q859" s="27">
        <v>7</v>
      </c>
      <c r="R859" s="44">
        <f t="shared" si="78"/>
        <v>602700</v>
      </c>
      <c r="S859" s="29">
        <v>0.04</v>
      </c>
      <c r="T859" s="44">
        <f t="shared" si="82"/>
        <v>578592</v>
      </c>
      <c r="U859" s="44">
        <f t="shared" si="83"/>
        <v>211092</v>
      </c>
      <c r="V859" s="44"/>
    </row>
    <row r="860" spans="1:22" ht="14.5" x14ac:dyDescent="0.35">
      <c r="A860" s="47" t="str">
        <f t="shared" si="79"/>
        <v>SBY-CP-E1031-2016</v>
      </c>
      <c r="B860" s="26">
        <v>42631</v>
      </c>
      <c r="C860" s="42">
        <v>2016</v>
      </c>
      <c r="D860" s="27" t="s">
        <v>164</v>
      </c>
      <c r="E860" s="27" t="s">
        <v>41</v>
      </c>
      <c r="F860" s="42" t="str" cm="1">
        <f t="array" ref="F860">_xlfn.IFS(E860="Bandung","BDG",E860="Surabaya","SBY",E860="Jakarta","JKT")</f>
        <v>SBY</v>
      </c>
      <c r="G860" s="27" t="s">
        <v>48</v>
      </c>
      <c r="H860" s="27" t="s">
        <v>72</v>
      </c>
      <c r="I860" s="27" t="s">
        <v>73</v>
      </c>
      <c r="J860" s="26">
        <v>42633</v>
      </c>
      <c r="K860" s="26">
        <v>42633</v>
      </c>
      <c r="L860" s="27">
        <f t="shared" si="80"/>
        <v>2</v>
      </c>
      <c r="M860" s="45">
        <v>51300</v>
      </c>
      <c r="N860" s="45">
        <v>125100</v>
      </c>
      <c r="O860" s="27">
        <v>67</v>
      </c>
      <c r="P860" s="46">
        <f t="shared" si="81"/>
        <v>0.58992805755395683</v>
      </c>
      <c r="Q860" s="27">
        <v>30</v>
      </c>
      <c r="R860" s="44">
        <f t="shared" si="78"/>
        <v>3753000</v>
      </c>
      <c r="S860" s="29">
        <v>0.02</v>
      </c>
      <c r="T860" s="44">
        <f t="shared" si="82"/>
        <v>3677940</v>
      </c>
      <c r="U860" s="44">
        <f t="shared" si="83"/>
        <v>2138940</v>
      </c>
      <c r="V860" s="44"/>
    </row>
    <row r="861" spans="1:22" ht="14.5" x14ac:dyDescent="0.35">
      <c r="A861" s="47" t="str">
        <f t="shared" si="79"/>
        <v>SBY-CP-E1031-2020</v>
      </c>
      <c r="B861" s="26">
        <v>43912</v>
      </c>
      <c r="C861" s="42">
        <v>2020</v>
      </c>
      <c r="D861" s="27" t="s">
        <v>164</v>
      </c>
      <c r="E861" s="27" t="s">
        <v>41</v>
      </c>
      <c r="F861" s="42" t="str" cm="1">
        <f t="array" ref="F861">_xlfn.IFS(E861="Bandung","BDG",E861="Surabaya","SBY",E861="Jakarta","JKT")</f>
        <v>SBY</v>
      </c>
      <c r="G861" s="27" t="s">
        <v>48</v>
      </c>
      <c r="H861" s="27" t="s">
        <v>76</v>
      </c>
      <c r="I861" s="27" t="s">
        <v>35</v>
      </c>
      <c r="J861" s="26" t="s">
        <v>1783</v>
      </c>
      <c r="K861" s="26">
        <v>43919</v>
      </c>
      <c r="L861" s="27">
        <f t="shared" si="80"/>
        <v>7</v>
      </c>
      <c r="M861" s="45">
        <v>68850</v>
      </c>
      <c r="N861" s="45">
        <v>109200</v>
      </c>
      <c r="O861" s="27">
        <v>76</v>
      </c>
      <c r="P861" s="46">
        <f t="shared" si="81"/>
        <v>0.36950549450549453</v>
      </c>
      <c r="Q861" s="27">
        <v>18</v>
      </c>
      <c r="R861" s="44">
        <f t="shared" si="78"/>
        <v>1965600</v>
      </c>
      <c r="S861" s="29">
        <v>0.09</v>
      </c>
      <c r="T861" s="44">
        <f t="shared" si="82"/>
        <v>1788696</v>
      </c>
      <c r="U861" s="44">
        <f t="shared" si="83"/>
        <v>549396</v>
      </c>
      <c r="V861" s="44"/>
    </row>
    <row r="862" spans="1:22" ht="14.5" x14ac:dyDescent="0.35">
      <c r="A862" s="47" t="str">
        <f t="shared" si="79"/>
        <v>SBY-CP-E1031-2020</v>
      </c>
      <c r="B862" s="26">
        <v>43912</v>
      </c>
      <c r="C862" s="42">
        <v>2020</v>
      </c>
      <c r="D862" s="27" t="s">
        <v>164</v>
      </c>
      <c r="E862" s="27" t="s">
        <v>41</v>
      </c>
      <c r="F862" s="42" t="str" cm="1">
        <f t="array" ref="F862">_xlfn.IFS(E862="Bandung","BDG",E862="Surabaya","SBY",E862="Jakarta","JKT")</f>
        <v>SBY</v>
      </c>
      <c r="G862" s="27" t="s">
        <v>48</v>
      </c>
      <c r="H862" s="27" t="s">
        <v>69</v>
      </c>
      <c r="I862" s="27" t="s">
        <v>39</v>
      </c>
      <c r="J862" s="26" t="s">
        <v>1784</v>
      </c>
      <c r="K862" s="26">
        <v>43916</v>
      </c>
      <c r="L862" s="27">
        <f t="shared" si="80"/>
        <v>4</v>
      </c>
      <c r="M862" s="45">
        <v>10650</v>
      </c>
      <c r="N862" s="45">
        <v>17100</v>
      </c>
      <c r="O862" s="27">
        <v>101</v>
      </c>
      <c r="P862" s="46">
        <f t="shared" si="81"/>
        <v>0.37719298245614036</v>
      </c>
      <c r="Q862" s="27">
        <v>28</v>
      </c>
      <c r="R862" s="44">
        <f t="shared" si="78"/>
        <v>478800</v>
      </c>
      <c r="S862" s="29">
        <v>0.09</v>
      </c>
      <c r="T862" s="44">
        <f t="shared" si="82"/>
        <v>435708</v>
      </c>
      <c r="U862" s="44">
        <f t="shared" si="83"/>
        <v>137508</v>
      </c>
      <c r="V862" s="44"/>
    </row>
    <row r="863" spans="1:22" ht="14.5" x14ac:dyDescent="0.35">
      <c r="A863" s="47" t="str">
        <f t="shared" si="79"/>
        <v>SBY-CP-E1036-2016</v>
      </c>
      <c r="B863" s="26">
        <v>42617</v>
      </c>
      <c r="C863" s="42">
        <v>2016</v>
      </c>
      <c r="D863" s="27" t="s">
        <v>139</v>
      </c>
      <c r="E863" s="27" t="s">
        <v>41</v>
      </c>
      <c r="F863" s="42" t="str" cm="1">
        <f t="array" ref="F863">_xlfn.IFS(E863="Bandung","BDG",E863="Surabaya","SBY",E863="Jakarta","JKT")</f>
        <v>SBY</v>
      </c>
      <c r="G863" s="27" t="s">
        <v>78</v>
      </c>
      <c r="H863" s="27" t="s">
        <v>140</v>
      </c>
      <c r="I863" s="27" t="s">
        <v>35</v>
      </c>
      <c r="J863" s="26">
        <v>42530</v>
      </c>
      <c r="K863" s="26">
        <v>42619</v>
      </c>
      <c r="L863" s="27">
        <f t="shared" si="80"/>
        <v>2</v>
      </c>
      <c r="M863" s="45">
        <v>96000</v>
      </c>
      <c r="N863" s="45">
        <v>436500</v>
      </c>
      <c r="O863" s="27">
        <v>33</v>
      </c>
      <c r="P863" s="46">
        <f t="shared" si="81"/>
        <v>0.78006872852233677</v>
      </c>
      <c r="Q863" s="27">
        <v>33</v>
      </c>
      <c r="R863" s="44">
        <f t="shared" si="78"/>
        <v>14404500</v>
      </c>
      <c r="S863" s="29">
        <v>0.01</v>
      </c>
      <c r="T863" s="44">
        <f t="shared" si="82"/>
        <v>14260455</v>
      </c>
      <c r="U863" s="44">
        <f t="shared" si="83"/>
        <v>11092455</v>
      </c>
      <c r="V863" s="44"/>
    </row>
    <row r="864" spans="1:22" ht="14.5" x14ac:dyDescent="0.35">
      <c r="A864" s="47" t="str">
        <f t="shared" si="79"/>
        <v>SBY-BT-E1032-2019</v>
      </c>
      <c r="B864" s="26">
        <v>43525</v>
      </c>
      <c r="C864" s="42">
        <v>2019</v>
      </c>
      <c r="D864" s="27" t="s">
        <v>643</v>
      </c>
      <c r="E864" s="27" t="s">
        <v>41</v>
      </c>
      <c r="F864" s="42" t="str" cm="1">
        <f t="array" ref="F864">_xlfn.IFS(E864="Bandung","BDG",E864="Surabaya","SBY",E864="Jakarta","JKT")</f>
        <v>SBY</v>
      </c>
      <c r="G864" s="27" t="s">
        <v>53</v>
      </c>
      <c r="H864" s="27" t="s">
        <v>376</v>
      </c>
      <c r="I864" s="27" t="s">
        <v>73</v>
      </c>
      <c r="J864" s="26">
        <v>43527</v>
      </c>
      <c r="K864" s="26">
        <v>43527</v>
      </c>
      <c r="L864" s="27">
        <f t="shared" si="80"/>
        <v>2</v>
      </c>
      <c r="M864" s="45">
        <v>62850.000000000007</v>
      </c>
      <c r="N864" s="45">
        <v>153450</v>
      </c>
      <c r="O864" s="27">
        <v>16</v>
      </c>
      <c r="P864" s="46">
        <f t="shared" si="81"/>
        <v>0.59042033235581626</v>
      </c>
      <c r="Q864" s="27">
        <v>16</v>
      </c>
      <c r="R864" s="44">
        <f t="shared" si="78"/>
        <v>2455200</v>
      </c>
      <c r="S864" s="29">
        <v>0.02</v>
      </c>
      <c r="T864" s="44">
        <f t="shared" si="82"/>
        <v>2406096</v>
      </c>
      <c r="U864" s="44">
        <f t="shared" si="83"/>
        <v>1400496</v>
      </c>
      <c r="V864" s="44"/>
    </row>
    <row r="865" spans="1:22" ht="14.5" x14ac:dyDescent="0.35">
      <c r="A865" s="47" t="str">
        <f t="shared" si="79"/>
        <v>JKT-BM-E1028-2019</v>
      </c>
      <c r="B865" s="26">
        <v>43827</v>
      </c>
      <c r="C865" s="42">
        <v>2019</v>
      </c>
      <c r="D865" s="27" t="s">
        <v>708</v>
      </c>
      <c r="E865" s="27" t="s">
        <v>32</v>
      </c>
      <c r="F865" s="42" t="str" cm="1">
        <f t="array" ref="F865">_xlfn.IFS(E865="Bandung","BDG",E865="Surabaya","SBY",E865="Jakarta","JKT")</f>
        <v>JKT</v>
      </c>
      <c r="G865" s="27" t="s">
        <v>33</v>
      </c>
      <c r="H865" s="27" t="s">
        <v>311</v>
      </c>
      <c r="I865" s="27" t="s">
        <v>39</v>
      </c>
      <c r="J865" s="26" t="s">
        <v>1762</v>
      </c>
      <c r="K865" s="26">
        <v>43829</v>
      </c>
      <c r="L865" s="27">
        <f t="shared" si="80"/>
        <v>2</v>
      </c>
      <c r="M865" s="45">
        <v>26400</v>
      </c>
      <c r="N865" s="45">
        <v>44100</v>
      </c>
      <c r="O865" s="27">
        <v>26</v>
      </c>
      <c r="P865" s="46">
        <f t="shared" si="81"/>
        <v>0.40136054421768708</v>
      </c>
      <c r="Q865" s="27">
        <v>26</v>
      </c>
      <c r="R865" s="44">
        <f t="shared" si="78"/>
        <v>1146600</v>
      </c>
      <c r="S865" s="29">
        <v>0.03</v>
      </c>
      <c r="T865" s="44">
        <f t="shared" si="82"/>
        <v>1112202</v>
      </c>
      <c r="U865" s="44">
        <f t="shared" si="83"/>
        <v>425802</v>
      </c>
      <c r="V865" s="44"/>
    </row>
    <row r="866" spans="1:22" ht="14.5" x14ac:dyDescent="0.35">
      <c r="A866" s="47" t="str">
        <f t="shared" si="79"/>
        <v>SBY-BM-E1034-2017</v>
      </c>
      <c r="B866" s="26">
        <v>42776</v>
      </c>
      <c r="C866" s="42">
        <v>2017</v>
      </c>
      <c r="D866" s="27" t="s">
        <v>299</v>
      </c>
      <c r="E866" s="27" t="s">
        <v>41</v>
      </c>
      <c r="F866" s="42" t="str" cm="1">
        <f t="array" ref="F866">_xlfn.IFS(E866="Bandung","BDG",E866="Surabaya","SBY",E866="Jakarta","JKT")</f>
        <v>SBY</v>
      </c>
      <c r="G866" s="27" t="s">
        <v>65</v>
      </c>
      <c r="H866" s="27" t="s">
        <v>221</v>
      </c>
      <c r="I866" s="27" t="s">
        <v>35</v>
      </c>
      <c r="J866" s="26">
        <v>42777</v>
      </c>
      <c r="K866" s="26">
        <v>43041</v>
      </c>
      <c r="L866" s="27">
        <f t="shared" si="80"/>
        <v>265</v>
      </c>
      <c r="M866" s="45">
        <v>29100</v>
      </c>
      <c r="N866" s="45">
        <v>46200</v>
      </c>
      <c r="O866" s="27">
        <v>81</v>
      </c>
      <c r="P866" s="46">
        <f t="shared" si="81"/>
        <v>0.37012987012987014</v>
      </c>
      <c r="Q866" s="27">
        <v>41</v>
      </c>
      <c r="R866" s="44">
        <f t="shared" si="78"/>
        <v>1894200</v>
      </c>
      <c r="S866" s="29">
        <v>0.04</v>
      </c>
      <c r="T866" s="44">
        <f t="shared" si="82"/>
        <v>1818432</v>
      </c>
      <c r="U866" s="44">
        <f t="shared" si="83"/>
        <v>625332</v>
      </c>
      <c r="V866" s="44"/>
    </row>
    <row r="867" spans="1:22" ht="14.5" x14ac:dyDescent="0.35">
      <c r="A867" s="47" t="str">
        <f t="shared" si="79"/>
        <v>BDG-BR-E1032-2019</v>
      </c>
      <c r="B867" s="26">
        <v>43604</v>
      </c>
      <c r="C867" s="42">
        <v>2019</v>
      </c>
      <c r="D867" s="27" t="s">
        <v>657</v>
      </c>
      <c r="E867" s="27" t="s">
        <v>136</v>
      </c>
      <c r="F867" s="42" t="str" cm="1">
        <f t="array" ref="F867">_xlfn.IFS(E867="Bandung","BDG",E867="Surabaya","SBY",E867="Jakarta","JKT")</f>
        <v>BDG</v>
      </c>
      <c r="G867" s="27" t="s">
        <v>53</v>
      </c>
      <c r="H867" s="27" t="s">
        <v>298</v>
      </c>
      <c r="I867" s="27" t="s">
        <v>73</v>
      </c>
      <c r="J867" s="26">
        <v>43605</v>
      </c>
      <c r="K867" s="26">
        <v>43605</v>
      </c>
      <c r="L867" s="27">
        <f t="shared" si="80"/>
        <v>1</v>
      </c>
      <c r="M867" s="45">
        <v>252000</v>
      </c>
      <c r="N867" s="45">
        <v>614550</v>
      </c>
      <c r="O867" s="27">
        <v>49</v>
      </c>
      <c r="P867" s="46">
        <f t="shared" si="81"/>
        <v>0.58994386136197219</v>
      </c>
      <c r="Q867" s="27">
        <v>49</v>
      </c>
      <c r="R867" s="44">
        <f t="shared" si="78"/>
        <v>30112950</v>
      </c>
      <c r="S867" s="29">
        <v>0.04</v>
      </c>
      <c r="T867" s="44">
        <f t="shared" si="82"/>
        <v>28908432</v>
      </c>
      <c r="U867" s="44">
        <f t="shared" si="83"/>
        <v>16560432</v>
      </c>
      <c r="V867" s="44"/>
    </row>
    <row r="868" spans="1:22" ht="14.5" x14ac:dyDescent="0.35">
      <c r="A868" s="47" t="str">
        <f t="shared" si="79"/>
        <v>BDG-BR-E1032-2019</v>
      </c>
      <c r="B868" s="26">
        <v>43655</v>
      </c>
      <c r="C868" s="42">
        <v>2019</v>
      </c>
      <c r="D868" s="27" t="s">
        <v>657</v>
      </c>
      <c r="E868" s="27" t="s">
        <v>136</v>
      </c>
      <c r="F868" s="42" t="str" cm="1">
        <f t="array" ref="F868">_xlfn.IFS(E868="Bandung","BDG",E868="Surabaya","SBY",E868="Jakarta","JKT")</f>
        <v>BDG</v>
      </c>
      <c r="G868" s="27" t="s">
        <v>53</v>
      </c>
      <c r="H868" s="27" t="s">
        <v>96</v>
      </c>
      <c r="I868" s="27" t="s">
        <v>35</v>
      </c>
      <c r="J868" s="26">
        <v>43776</v>
      </c>
      <c r="K868" s="26">
        <v>43657</v>
      </c>
      <c r="L868" s="27">
        <f t="shared" si="80"/>
        <v>2</v>
      </c>
      <c r="M868" s="45">
        <v>23850</v>
      </c>
      <c r="N868" s="45">
        <v>39150</v>
      </c>
      <c r="O868" s="27">
        <v>46</v>
      </c>
      <c r="P868" s="46">
        <f t="shared" si="81"/>
        <v>0.39080459770114945</v>
      </c>
      <c r="Q868" s="27">
        <v>8</v>
      </c>
      <c r="R868" s="44">
        <f t="shared" si="78"/>
        <v>313200</v>
      </c>
      <c r="S868" s="29">
        <v>0.02</v>
      </c>
      <c r="T868" s="44">
        <f t="shared" si="82"/>
        <v>306936</v>
      </c>
      <c r="U868" s="44">
        <f t="shared" si="83"/>
        <v>116136</v>
      </c>
      <c r="V868" s="44"/>
    </row>
    <row r="869" spans="1:22" ht="14.5" x14ac:dyDescent="0.35">
      <c r="A869" s="47" t="str">
        <f t="shared" si="79"/>
        <v>BDG-BR-E1032-2019</v>
      </c>
      <c r="B869" s="26">
        <v>43750</v>
      </c>
      <c r="C869" s="42">
        <v>2019</v>
      </c>
      <c r="D869" s="27" t="s">
        <v>657</v>
      </c>
      <c r="E869" s="27" t="s">
        <v>136</v>
      </c>
      <c r="F869" s="42" t="str" cm="1">
        <f t="array" ref="F869">_xlfn.IFS(E869="Bandung","BDG",E869="Surabaya","SBY",E869="Jakarta","JKT")</f>
        <v>BDG</v>
      </c>
      <c r="G869" s="27" t="s">
        <v>53</v>
      </c>
      <c r="H869" s="27" t="s">
        <v>260</v>
      </c>
      <c r="I869" s="27" t="s">
        <v>39</v>
      </c>
      <c r="J869" s="26">
        <v>43755</v>
      </c>
      <c r="K869" s="26">
        <v>43755</v>
      </c>
      <c r="L869" s="27">
        <f t="shared" si="80"/>
        <v>5</v>
      </c>
      <c r="M869" s="45">
        <v>49800</v>
      </c>
      <c r="N869" s="45">
        <v>77700</v>
      </c>
      <c r="O869" s="27">
        <v>49</v>
      </c>
      <c r="P869" s="46">
        <f t="shared" si="81"/>
        <v>0.35907335907335908</v>
      </c>
      <c r="Q869" s="27">
        <v>1</v>
      </c>
      <c r="R869" s="44">
        <f t="shared" si="78"/>
        <v>77700</v>
      </c>
      <c r="S869" s="29">
        <v>0.02</v>
      </c>
      <c r="T869" s="44">
        <f t="shared" si="82"/>
        <v>76146</v>
      </c>
      <c r="U869" s="44">
        <f t="shared" si="83"/>
        <v>26346</v>
      </c>
      <c r="V869" s="44"/>
    </row>
    <row r="870" spans="1:22" ht="14.5" x14ac:dyDescent="0.35">
      <c r="A870" s="47" t="str">
        <f t="shared" si="79"/>
        <v>BDG-BR-E1032-2019</v>
      </c>
      <c r="B870" s="26">
        <v>43750</v>
      </c>
      <c r="C870" s="42">
        <v>2019</v>
      </c>
      <c r="D870" s="27" t="s">
        <v>657</v>
      </c>
      <c r="E870" s="27" t="s">
        <v>136</v>
      </c>
      <c r="F870" s="42" t="str" cm="1">
        <f t="array" ref="F870">_xlfn.IFS(E870="Bandung","BDG",E870="Surabaya","SBY",E870="Jakarta","JKT")</f>
        <v>BDG</v>
      </c>
      <c r="G870" s="27" t="s">
        <v>53</v>
      </c>
      <c r="H870" s="27" t="s">
        <v>212</v>
      </c>
      <c r="I870" s="27" t="s">
        <v>39</v>
      </c>
      <c r="J870" s="26" t="s">
        <v>1752</v>
      </c>
      <c r="K870" s="26">
        <v>43754</v>
      </c>
      <c r="L870" s="27">
        <f t="shared" si="80"/>
        <v>4</v>
      </c>
      <c r="M870" s="45">
        <v>44700</v>
      </c>
      <c r="N870" s="45">
        <v>87600</v>
      </c>
      <c r="O870" s="27">
        <v>23</v>
      </c>
      <c r="P870" s="46">
        <f t="shared" si="81"/>
        <v>0.48972602739726029</v>
      </c>
      <c r="Q870" s="27">
        <v>4</v>
      </c>
      <c r="R870" s="44">
        <f t="shared" si="78"/>
        <v>350400</v>
      </c>
      <c r="S870" s="29">
        <v>0.09</v>
      </c>
      <c r="T870" s="44">
        <f t="shared" si="82"/>
        <v>318864</v>
      </c>
      <c r="U870" s="44">
        <f t="shared" si="83"/>
        <v>140064</v>
      </c>
      <c r="V870" s="44"/>
    </row>
    <row r="871" spans="1:22" ht="14.5" x14ac:dyDescent="0.35">
      <c r="A871" s="47" t="str">
        <f t="shared" si="79"/>
        <v>JKT-BS-E1029-2018</v>
      </c>
      <c r="B871" s="26">
        <v>43322</v>
      </c>
      <c r="C871" s="42">
        <v>2018</v>
      </c>
      <c r="D871" s="27" t="s">
        <v>577</v>
      </c>
      <c r="E871" s="27" t="s">
        <v>32</v>
      </c>
      <c r="F871" s="42" t="str" cm="1">
        <f t="array" ref="F871">_xlfn.IFS(E871="Bandung","BDG",E871="Surabaya","SBY",E871="Jakarta","JKT")</f>
        <v>JKT</v>
      </c>
      <c r="G871" s="27" t="s">
        <v>37</v>
      </c>
      <c r="H871" s="27" t="s">
        <v>214</v>
      </c>
      <c r="I871" s="27" t="s">
        <v>35</v>
      </c>
      <c r="J871" s="26">
        <v>43324</v>
      </c>
      <c r="K871" s="26">
        <v>43442</v>
      </c>
      <c r="L871" s="27">
        <f t="shared" si="80"/>
        <v>120</v>
      </c>
      <c r="M871" s="45">
        <v>54750</v>
      </c>
      <c r="N871" s="45">
        <v>89700</v>
      </c>
      <c r="O871" s="27">
        <v>90</v>
      </c>
      <c r="P871" s="46">
        <f t="shared" si="81"/>
        <v>0.38963210702341139</v>
      </c>
      <c r="Q871" s="27">
        <v>50</v>
      </c>
      <c r="R871" s="44">
        <f t="shared" si="78"/>
        <v>4485000</v>
      </c>
      <c r="S871" s="29">
        <v>0.09</v>
      </c>
      <c r="T871" s="44">
        <f t="shared" si="82"/>
        <v>4081350</v>
      </c>
      <c r="U871" s="44">
        <f t="shared" si="83"/>
        <v>1343850</v>
      </c>
      <c r="V871" s="44"/>
    </row>
    <row r="872" spans="1:22" ht="14.5" x14ac:dyDescent="0.35">
      <c r="A872" s="47" t="str">
        <f t="shared" si="79"/>
        <v>SBY-BA-E1033-2017</v>
      </c>
      <c r="B872" s="26">
        <v>42868</v>
      </c>
      <c r="C872" s="42">
        <v>2017</v>
      </c>
      <c r="D872" s="27" t="s">
        <v>357</v>
      </c>
      <c r="E872" s="27" t="s">
        <v>41</v>
      </c>
      <c r="F872" s="42" t="str" cm="1">
        <f t="array" ref="F872">_xlfn.IFS(E872="Bandung","BDG",E872="Surabaya","SBY",E872="Jakarta","JKT")</f>
        <v>SBY</v>
      </c>
      <c r="G872" s="27" t="s">
        <v>60</v>
      </c>
      <c r="H872" s="27" t="s">
        <v>58</v>
      </c>
      <c r="I872" s="27" t="s">
        <v>35</v>
      </c>
      <c r="J872" s="26" t="s">
        <v>1608</v>
      </c>
      <c r="K872" s="26">
        <v>42871</v>
      </c>
      <c r="L872" s="27">
        <f t="shared" si="80"/>
        <v>3</v>
      </c>
      <c r="M872" s="45">
        <v>814350</v>
      </c>
      <c r="N872" s="45">
        <v>1357200</v>
      </c>
      <c r="O872" s="27">
        <v>27</v>
      </c>
      <c r="P872" s="46">
        <f t="shared" si="81"/>
        <v>0.39997789566755082</v>
      </c>
      <c r="Q872" s="27">
        <v>27</v>
      </c>
      <c r="R872" s="44">
        <f t="shared" si="78"/>
        <v>36644400</v>
      </c>
      <c r="S872" s="29">
        <v>0</v>
      </c>
      <c r="T872" s="44">
        <f t="shared" si="82"/>
        <v>36644400</v>
      </c>
      <c r="U872" s="44">
        <f t="shared" si="83"/>
        <v>14656950</v>
      </c>
      <c r="V872" s="44"/>
    </row>
    <row r="873" spans="1:22" ht="14.5" x14ac:dyDescent="0.35">
      <c r="A873" s="47" t="str">
        <f t="shared" si="79"/>
        <v>SBY-BR-E1036-2017</v>
      </c>
      <c r="B873" s="26">
        <v>42879</v>
      </c>
      <c r="C873" s="42">
        <v>2017</v>
      </c>
      <c r="D873" s="27" t="s">
        <v>365</v>
      </c>
      <c r="E873" s="27" t="s">
        <v>41</v>
      </c>
      <c r="F873" s="42" t="str" cm="1">
        <f t="array" ref="F873">_xlfn.IFS(E873="Bandung","BDG",E873="Surabaya","SBY",E873="Jakarta","JKT")</f>
        <v>SBY</v>
      </c>
      <c r="G873" s="27" t="s">
        <v>78</v>
      </c>
      <c r="H873" s="27" t="s">
        <v>229</v>
      </c>
      <c r="I873" s="27" t="s">
        <v>35</v>
      </c>
      <c r="J873" s="26">
        <v>42883</v>
      </c>
      <c r="K873" s="26">
        <v>42883</v>
      </c>
      <c r="L873" s="27">
        <f t="shared" si="80"/>
        <v>4</v>
      </c>
      <c r="M873" s="45">
        <v>33900</v>
      </c>
      <c r="N873" s="45">
        <v>53700</v>
      </c>
      <c r="O873" s="27">
        <v>42</v>
      </c>
      <c r="P873" s="46">
        <f t="shared" si="81"/>
        <v>0.36871508379888268</v>
      </c>
      <c r="Q873" s="27">
        <v>42</v>
      </c>
      <c r="R873" s="44">
        <f t="shared" si="78"/>
        <v>2255400</v>
      </c>
      <c r="S873" s="29">
        <v>0.01</v>
      </c>
      <c r="T873" s="44">
        <f t="shared" si="82"/>
        <v>2232846</v>
      </c>
      <c r="U873" s="44">
        <f t="shared" si="83"/>
        <v>809046</v>
      </c>
      <c r="V873" s="44"/>
    </row>
    <row r="874" spans="1:22" ht="14.5" x14ac:dyDescent="0.35">
      <c r="A874" s="47" t="str">
        <f t="shared" si="79"/>
        <v>SBY-BM-E1035-2016</v>
      </c>
      <c r="B874" s="26">
        <v>42544</v>
      </c>
      <c r="C874" s="42">
        <v>2016</v>
      </c>
      <c r="D874" s="27" t="s">
        <v>70</v>
      </c>
      <c r="E874" s="27" t="s">
        <v>41</v>
      </c>
      <c r="F874" s="42" t="str" cm="1">
        <f t="array" ref="F874">_xlfn.IFS(E874="Bandung","BDG",E874="Surabaya","SBY",E874="Jakarta","JKT")</f>
        <v>SBY</v>
      </c>
      <c r="G874" s="27" t="s">
        <v>71</v>
      </c>
      <c r="H874" s="27" t="s">
        <v>72</v>
      </c>
      <c r="I874" s="27" t="s">
        <v>73</v>
      </c>
      <c r="J874" s="26" t="s">
        <v>1556</v>
      </c>
      <c r="K874" s="26">
        <v>42546</v>
      </c>
      <c r="L874" s="27">
        <f t="shared" si="80"/>
        <v>2</v>
      </c>
      <c r="M874" s="45">
        <v>51300</v>
      </c>
      <c r="N874" s="45">
        <v>125100</v>
      </c>
      <c r="O874" s="27">
        <v>37</v>
      </c>
      <c r="P874" s="46">
        <f t="shared" si="81"/>
        <v>0.58992805755395683</v>
      </c>
      <c r="Q874" s="27">
        <v>16</v>
      </c>
      <c r="R874" s="44">
        <f t="shared" si="78"/>
        <v>2001600</v>
      </c>
      <c r="S874" s="29">
        <v>0.03</v>
      </c>
      <c r="T874" s="44">
        <f t="shared" si="82"/>
        <v>1941552</v>
      </c>
      <c r="U874" s="44">
        <f t="shared" si="83"/>
        <v>1120752</v>
      </c>
      <c r="V874" s="44"/>
    </row>
    <row r="875" spans="1:22" ht="14.5" x14ac:dyDescent="0.35">
      <c r="A875" s="47" t="str">
        <f t="shared" si="79"/>
        <v>SBY-BM-E1035-2019</v>
      </c>
      <c r="B875" s="26">
        <v>43586</v>
      </c>
      <c r="C875" s="42">
        <v>2019</v>
      </c>
      <c r="D875" s="27" t="s">
        <v>70</v>
      </c>
      <c r="E875" s="27" t="s">
        <v>41</v>
      </c>
      <c r="F875" s="42" t="str" cm="1">
        <f t="array" ref="F875">_xlfn.IFS(E875="Bandung","BDG",E875="Surabaya","SBY",E875="Jakarta","JKT")</f>
        <v>SBY</v>
      </c>
      <c r="G875" s="27" t="s">
        <v>71</v>
      </c>
      <c r="H875" s="27" t="s">
        <v>115</v>
      </c>
      <c r="I875" s="27" t="s">
        <v>73</v>
      </c>
      <c r="J875" s="26">
        <v>43501</v>
      </c>
      <c r="K875" s="26">
        <v>43587</v>
      </c>
      <c r="L875" s="27">
        <f t="shared" si="80"/>
        <v>1</v>
      </c>
      <c r="M875" s="45">
        <v>28050</v>
      </c>
      <c r="N875" s="45">
        <v>121799.99999999999</v>
      </c>
      <c r="O875" s="27">
        <v>84</v>
      </c>
      <c r="P875" s="46">
        <f t="shared" si="81"/>
        <v>0.76970443349753692</v>
      </c>
      <c r="Q875" s="27">
        <v>47</v>
      </c>
      <c r="R875" s="44">
        <f t="shared" si="78"/>
        <v>5724599.9999999991</v>
      </c>
      <c r="S875" s="29">
        <v>7.0000000000000007E-2</v>
      </c>
      <c r="T875" s="44">
        <f t="shared" si="82"/>
        <v>5323877.9999999991</v>
      </c>
      <c r="U875" s="44">
        <f t="shared" si="83"/>
        <v>4005527.9999999991</v>
      </c>
      <c r="V875" s="44"/>
    </row>
    <row r="876" spans="1:22" ht="14.5" x14ac:dyDescent="0.35">
      <c r="A876" s="47" t="str">
        <f t="shared" si="79"/>
        <v>JKT-BH-E1028-2016</v>
      </c>
      <c r="B876" s="26">
        <v>42721</v>
      </c>
      <c r="C876" s="42">
        <v>2016</v>
      </c>
      <c r="D876" s="27" t="s">
        <v>259</v>
      </c>
      <c r="E876" s="27" t="s">
        <v>32</v>
      </c>
      <c r="F876" s="42" t="str" cm="1">
        <f t="array" ref="F876">_xlfn.IFS(E876="Bandung","BDG",E876="Surabaya","SBY",E876="Jakarta","JKT")</f>
        <v>JKT</v>
      </c>
      <c r="G876" s="27" t="s">
        <v>33</v>
      </c>
      <c r="H876" s="27" t="s">
        <v>260</v>
      </c>
      <c r="I876" s="27" t="s">
        <v>39</v>
      </c>
      <c r="J876" s="26">
        <v>42723</v>
      </c>
      <c r="K876" s="26">
        <v>42723</v>
      </c>
      <c r="L876" s="27">
        <f t="shared" si="80"/>
        <v>2</v>
      </c>
      <c r="M876" s="45">
        <v>49800</v>
      </c>
      <c r="N876" s="45">
        <v>77700</v>
      </c>
      <c r="O876" s="27">
        <v>48</v>
      </c>
      <c r="P876" s="46">
        <f t="shared" si="81"/>
        <v>0.35907335907335908</v>
      </c>
      <c r="Q876" s="27">
        <v>37</v>
      </c>
      <c r="R876" s="44">
        <f t="shared" si="78"/>
        <v>2874900</v>
      </c>
      <c r="S876" s="29">
        <v>7.0000000000000007E-2</v>
      </c>
      <c r="T876" s="44">
        <f t="shared" si="82"/>
        <v>2673657</v>
      </c>
      <c r="U876" s="44">
        <f t="shared" si="83"/>
        <v>831057</v>
      </c>
      <c r="V876" s="44"/>
    </row>
    <row r="877" spans="1:22" ht="14.5" x14ac:dyDescent="0.35">
      <c r="A877" s="47" t="str">
        <f t="shared" si="79"/>
        <v>JKT-BH-E1028-2019</v>
      </c>
      <c r="B877" s="26">
        <v>43603</v>
      </c>
      <c r="C877" s="42">
        <v>2019</v>
      </c>
      <c r="D877" s="27" t="s">
        <v>259</v>
      </c>
      <c r="E877" s="27" t="s">
        <v>32</v>
      </c>
      <c r="F877" s="42" t="str" cm="1">
        <f t="array" ref="F877">_xlfn.IFS(E877="Bandung","BDG",E877="Surabaya","SBY",E877="Jakarta","JKT")</f>
        <v>JKT</v>
      </c>
      <c r="G877" s="27" t="s">
        <v>33</v>
      </c>
      <c r="H877" s="27" t="s">
        <v>642</v>
      </c>
      <c r="I877" s="27" t="s">
        <v>39</v>
      </c>
      <c r="J877" s="26">
        <v>43605</v>
      </c>
      <c r="K877" s="26">
        <v>43605</v>
      </c>
      <c r="L877" s="27">
        <f t="shared" si="80"/>
        <v>2</v>
      </c>
      <c r="M877" s="45">
        <v>59250</v>
      </c>
      <c r="N877" s="45">
        <v>91200</v>
      </c>
      <c r="O877" s="27">
        <v>42</v>
      </c>
      <c r="P877" s="46">
        <f t="shared" si="81"/>
        <v>0.35032894736842107</v>
      </c>
      <c r="Q877" s="27">
        <v>42</v>
      </c>
      <c r="R877" s="44">
        <f t="shared" si="78"/>
        <v>3830400</v>
      </c>
      <c r="S877" s="29">
        <v>0.09</v>
      </c>
      <c r="T877" s="44">
        <f t="shared" si="82"/>
        <v>3485664</v>
      </c>
      <c r="U877" s="44">
        <f t="shared" si="83"/>
        <v>997164</v>
      </c>
      <c r="V877" s="44"/>
    </row>
    <row r="878" spans="1:22" ht="14.5" x14ac:dyDescent="0.35">
      <c r="A878" s="47" t="str">
        <f t="shared" si="79"/>
        <v>SBY-BS-E1039-2017</v>
      </c>
      <c r="B878" s="26">
        <v>43048</v>
      </c>
      <c r="C878" s="42">
        <v>2017</v>
      </c>
      <c r="D878" s="27" t="s">
        <v>461</v>
      </c>
      <c r="E878" s="27" t="s">
        <v>41</v>
      </c>
      <c r="F878" s="42" t="str" cm="1">
        <f t="array" ref="F878">_xlfn.IFS(E878="Bandung","BDG",E878="Surabaya","SBY",E878="Jakarta","JKT")</f>
        <v>SBY</v>
      </c>
      <c r="G878" s="27" t="s">
        <v>103</v>
      </c>
      <c r="H878" s="27" t="s">
        <v>119</v>
      </c>
      <c r="I878" s="27" t="s">
        <v>120</v>
      </c>
      <c r="J878" s="26">
        <v>43050</v>
      </c>
      <c r="K878" s="26">
        <v>43050</v>
      </c>
      <c r="L878" s="27">
        <f t="shared" si="80"/>
        <v>2</v>
      </c>
      <c r="M878" s="45">
        <v>132300</v>
      </c>
      <c r="N878" s="45">
        <v>314850</v>
      </c>
      <c r="O878" s="27">
        <v>11</v>
      </c>
      <c r="P878" s="46">
        <f t="shared" si="81"/>
        <v>0.57979990471653164</v>
      </c>
      <c r="Q878" s="27">
        <v>9</v>
      </c>
      <c r="R878" s="44">
        <f t="shared" si="78"/>
        <v>2833650</v>
      </c>
      <c r="S878" s="29">
        <v>0.08</v>
      </c>
      <c r="T878" s="44">
        <f t="shared" si="82"/>
        <v>2606958</v>
      </c>
      <c r="U878" s="44">
        <f t="shared" si="83"/>
        <v>1416258</v>
      </c>
      <c r="V878" s="44"/>
    </row>
    <row r="879" spans="1:22" ht="14.5" x14ac:dyDescent="0.35">
      <c r="A879" s="47" t="str">
        <f t="shared" si="79"/>
        <v>SBY-BS-E1039-2019</v>
      </c>
      <c r="B879" s="26">
        <v>43805</v>
      </c>
      <c r="C879" s="42">
        <v>2019</v>
      </c>
      <c r="D879" s="27" t="s">
        <v>461</v>
      </c>
      <c r="E879" s="27" t="s">
        <v>41</v>
      </c>
      <c r="F879" s="42" t="str" cm="1">
        <f t="array" ref="F879">_xlfn.IFS(E879="Bandung","BDG",E879="Surabaya","SBY",E879="Jakarta","JKT")</f>
        <v>SBY</v>
      </c>
      <c r="G879" s="27" t="s">
        <v>103</v>
      </c>
      <c r="H879" s="27" t="s">
        <v>182</v>
      </c>
      <c r="I879" s="27" t="s">
        <v>39</v>
      </c>
      <c r="J879" s="26">
        <v>43807</v>
      </c>
      <c r="K879" s="26">
        <v>43689</v>
      </c>
      <c r="L879" s="27">
        <f t="shared" si="80"/>
        <v>-116</v>
      </c>
      <c r="M879" s="45">
        <v>166650</v>
      </c>
      <c r="N879" s="45">
        <v>297600</v>
      </c>
      <c r="O879" s="27">
        <v>61</v>
      </c>
      <c r="P879" s="46">
        <f t="shared" si="81"/>
        <v>0.44002016129032256</v>
      </c>
      <c r="Q879" s="27">
        <v>22</v>
      </c>
      <c r="R879" s="44">
        <f t="shared" si="78"/>
        <v>6547200</v>
      </c>
      <c r="S879" s="29">
        <v>0.06</v>
      </c>
      <c r="T879" s="44">
        <f t="shared" si="82"/>
        <v>6154368</v>
      </c>
      <c r="U879" s="44">
        <f t="shared" si="83"/>
        <v>2488068</v>
      </c>
      <c r="V879" s="44"/>
    </row>
    <row r="880" spans="1:22" ht="14.5" x14ac:dyDescent="0.35">
      <c r="A880" s="47" t="str">
        <f t="shared" si="79"/>
        <v>JKT-BW-E1028-2017</v>
      </c>
      <c r="B880" s="26">
        <v>43045</v>
      </c>
      <c r="C880" s="42">
        <v>2017</v>
      </c>
      <c r="D880" s="27" t="s">
        <v>459</v>
      </c>
      <c r="E880" s="27" t="s">
        <v>32</v>
      </c>
      <c r="F880" s="42" t="str" cm="1">
        <f t="array" ref="F880">_xlfn.IFS(E880="Bandung","BDG",E880="Surabaya","SBY",E880="Jakarta","JKT")</f>
        <v>JKT</v>
      </c>
      <c r="G880" s="27" t="s">
        <v>33</v>
      </c>
      <c r="H880" s="27" t="s">
        <v>191</v>
      </c>
      <c r="I880" s="27" t="s">
        <v>35</v>
      </c>
      <c r="J880" s="26">
        <v>42958</v>
      </c>
      <c r="K880" s="26">
        <v>43047</v>
      </c>
      <c r="L880" s="27">
        <f t="shared" si="80"/>
        <v>2</v>
      </c>
      <c r="M880" s="45">
        <v>29700</v>
      </c>
      <c r="N880" s="45">
        <v>47250</v>
      </c>
      <c r="O880" s="27">
        <v>46</v>
      </c>
      <c r="P880" s="46">
        <f t="shared" si="81"/>
        <v>0.37142857142857144</v>
      </c>
      <c r="Q880" s="27">
        <v>46</v>
      </c>
      <c r="R880" s="44">
        <f t="shared" si="78"/>
        <v>2173500</v>
      </c>
      <c r="S880" s="29">
        <v>0.1</v>
      </c>
      <c r="T880" s="44">
        <f t="shared" si="82"/>
        <v>1956150</v>
      </c>
      <c r="U880" s="44">
        <f t="shared" si="83"/>
        <v>589950</v>
      </c>
      <c r="V880" s="44"/>
    </row>
    <row r="881" spans="1:22" ht="14.5" x14ac:dyDescent="0.35">
      <c r="A881" s="47" t="str">
        <f t="shared" si="79"/>
        <v>JKT-BW-E1028-2017</v>
      </c>
      <c r="B881" s="26">
        <v>43093</v>
      </c>
      <c r="C881" s="42">
        <v>2017</v>
      </c>
      <c r="D881" s="27" t="s">
        <v>459</v>
      </c>
      <c r="E881" s="27" t="s">
        <v>32</v>
      </c>
      <c r="F881" s="42" t="str" cm="1">
        <f t="array" ref="F881">_xlfn.IFS(E881="Bandung","BDG",E881="Surabaya","SBY",E881="Jakarta","JKT")</f>
        <v>JKT</v>
      </c>
      <c r="G881" s="27" t="s">
        <v>33</v>
      </c>
      <c r="H881" s="27" t="s">
        <v>241</v>
      </c>
      <c r="I881" s="27" t="s">
        <v>39</v>
      </c>
      <c r="J881" s="26">
        <v>43095</v>
      </c>
      <c r="K881" s="26">
        <v>43095</v>
      </c>
      <c r="L881" s="27">
        <f t="shared" si="80"/>
        <v>2</v>
      </c>
      <c r="M881" s="45">
        <v>13950</v>
      </c>
      <c r="N881" s="45">
        <v>22200</v>
      </c>
      <c r="O881" s="27">
        <v>15</v>
      </c>
      <c r="P881" s="46">
        <f t="shared" si="81"/>
        <v>0.3716216216216216</v>
      </c>
      <c r="Q881" s="27">
        <v>15</v>
      </c>
      <c r="R881" s="44">
        <f t="shared" si="78"/>
        <v>333000</v>
      </c>
      <c r="S881" s="29">
        <v>0.03</v>
      </c>
      <c r="T881" s="44">
        <f t="shared" si="82"/>
        <v>323010</v>
      </c>
      <c r="U881" s="44">
        <f t="shared" si="83"/>
        <v>113760</v>
      </c>
      <c r="V881" s="44"/>
    </row>
    <row r="882" spans="1:22" ht="14.5" x14ac:dyDescent="0.35">
      <c r="A882" s="47" t="str">
        <f t="shared" si="79"/>
        <v>JKT-BW-E1028-2018</v>
      </c>
      <c r="B882" s="26">
        <v>43133</v>
      </c>
      <c r="C882" s="42">
        <v>2018</v>
      </c>
      <c r="D882" s="27" t="s">
        <v>459</v>
      </c>
      <c r="E882" s="27" t="s">
        <v>32</v>
      </c>
      <c r="F882" s="42" t="str" cm="1">
        <f t="array" ref="F882">_xlfn.IFS(E882="Bandung","BDG",E882="Surabaya","SBY",E882="Jakarta","JKT")</f>
        <v>JKT</v>
      </c>
      <c r="G882" s="27" t="s">
        <v>33</v>
      </c>
      <c r="H882" s="27" t="s">
        <v>107</v>
      </c>
      <c r="I882" s="27" t="s">
        <v>73</v>
      </c>
      <c r="J882" s="26">
        <v>43133</v>
      </c>
      <c r="K882" s="26">
        <v>43133</v>
      </c>
      <c r="L882" s="27">
        <f t="shared" si="80"/>
        <v>0</v>
      </c>
      <c r="M882" s="45">
        <v>71850</v>
      </c>
      <c r="N882" s="45">
        <v>179550</v>
      </c>
      <c r="O882" s="27">
        <v>8</v>
      </c>
      <c r="P882" s="46">
        <f t="shared" si="81"/>
        <v>0.59983291562238927</v>
      </c>
      <c r="Q882" s="27">
        <v>8</v>
      </c>
      <c r="R882" s="44">
        <f t="shared" si="78"/>
        <v>1436400</v>
      </c>
      <c r="S882" s="29">
        <v>0.03</v>
      </c>
      <c r="T882" s="44">
        <f t="shared" si="82"/>
        <v>1393308</v>
      </c>
      <c r="U882" s="44">
        <f t="shared" si="83"/>
        <v>818508</v>
      </c>
      <c r="V882" s="44"/>
    </row>
    <row r="883" spans="1:22" ht="14.5" x14ac:dyDescent="0.35">
      <c r="A883" s="47" t="str">
        <f t="shared" si="79"/>
        <v>JKT-BW-E1028-2018</v>
      </c>
      <c r="B883" s="26">
        <v>43220</v>
      </c>
      <c r="C883" s="42">
        <v>2018</v>
      </c>
      <c r="D883" s="27" t="s">
        <v>459</v>
      </c>
      <c r="E883" s="27" t="s">
        <v>32</v>
      </c>
      <c r="F883" s="42" t="str" cm="1">
        <f t="array" ref="F883">_xlfn.IFS(E883="Bandung","BDG",E883="Surabaya","SBY",E883="Jakarta","JKT")</f>
        <v>JKT</v>
      </c>
      <c r="G883" s="27" t="s">
        <v>33</v>
      </c>
      <c r="H883" s="27" t="s">
        <v>402</v>
      </c>
      <c r="I883" s="27" t="s">
        <v>46</v>
      </c>
      <c r="J883" s="26">
        <v>43105</v>
      </c>
      <c r="K883" s="26">
        <v>43221</v>
      </c>
      <c r="L883" s="27">
        <f t="shared" si="80"/>
        <v>1</v>
      </c>
      <c r="M883" s="45">
        <v>4734150</v>
      </c>
      <c r="N883" s="45">
        <v>7514550</v>
      </c>
      <c r="O883" s="27">
        <v>81</v>
      </c>
      <c r="P883" s="46">
        <f t="shared" si="81"/>
        <v>0.37000219574026388</v>
      </c>
      <c r="Q883" s="27">
        <v>37</v>
      </c>
      <c r="R883" s="44">
        <f t="shared" si="78"/>
        <v>278038350</v>
      </c>
      <c r="S883" s="29">
        <v>0</v>
      </c>
      <c r="T883" s="44">
        <f t="shared" si="82"/>
        <v>278038350</v>
      </c>
      <c r="U883" s="44">
        <f t="shared" si="83"/>
        <v>102874800</v>
      </c>
      <c r="V883" s="44"/>
    </row>
    <row r="884" spans="1:22" ht="14.5" x14ac:dyDescent="0.35">
      <c r="A884" s="47" t="str">
        <f t="shared" si="79"/>
        <v>JKT-BW-E1028-2018</v>
      </c>
      <c r="B884" s="26">
        <v>43312</v>
      </c>
      <c r="C884" s="42">
        <v>2018</v>
      </c>
      <c r="D884" s="27" t="s">
        <v>459</v>
      </c>
      <c r="E884" s="27" t="s">
        <v>32</v>
      </c>
      <c r="F884" s="42" t="str" cm="1">
        <f t="array" ref="F884">_xlfn.IFS(E884="Bandung","BDG",E884="Surabaya","SBY",E884="Jakarta","JKT")</f>
        <v>JKT</v>
      </c>
      <c r="G884" s="27" t="s">
        <v>33</v>
      </c>
      <c r="H884" s="27" t="s">
        <v>309</v>
      </c>
      <c r="I884" s="27" t="s">
        <v>35</v>
      </c>
      <c r="J884" s="26">
        <v>43313</v>
      </c>
      <c r="K884" s="26">
        <v>43108</v>
      </c>
      <c r="L884" s="27">
        <f t="shared" si="80"/>
        <v>-204</v>
      </c>
      <c r="M884" s="45">
        <v>50550</v>
      </c>
      <c r="N884" s="45">
        <v>82950</v>
      </c>
      <c r="O884" s="27">
        <v>42</v>
      </c>
      <c r="P884" s="46">
        <f t="shared" si="81"/>
        <v>0.39059674502712477</v>
      </c>
      <c r="Q884" s="27">
        <v>30</v>
      </c>
      <c r="R884" s="44">
        <f t="shared" si="78"/>
        <v>2488500</v>
      </c>
      <c r="S884" s="29">
        <v>0.01</v>
      </c>
      <c r="T884" s="44">
        <f t="shared" si="82"/>
        <v>2463615</v>
      </c>
      <c r="U884" s="44">
        <f t="shared" si="83"/>
        <v>947115</v>
      </c>
      <c r="V884" s="44"/>
    </row>
    <row r="885" spans="1:22" ht="14.5" x14ac:dyDescent="0.35">
      <c r="A885" s="47" t="str">
        <f t="shared" si="79"/>
        <v>JKT-BN-E1028-2019</v>
      </c>
      <c r="B885" s="26">
        <v>43647</v>
      </c>
      <c r="C885" s="42">
        <v>2019</v>
      </c>
      <c r="D885" s="27" t="s">
        <v>667</v>
      </c>
      <c r="E885" s="27" t="s">
        <v>32</v>
      </c>
      <c r="F885" s="42" t="str" cm="1">
        <f t="array" ref="F885">_xlfn.IFS(E885="Bandung","BDG",E885="Surabaya","SBY",E885="Jakarta","JKT")</f>
        <v>JKT</v>
      </c>
      <c r="G885" s="27" t="s">
        <v>33</v>
      </c>
      <c r="H885" s="27" t="s">
        <v>130</v>
      </c>
      <c r="I885" s="27" t="s">
        <v>39</v>
      </c>
      <c r="J885" s="26">
        <v>43472</v>
      </c>
      <c r="K885" s="26">
        <v>43647</v>
      </c>
      <c r="L885" s="27">
        <f t="shared" si="80"/>
        <v>0</v>
      </c>
      <c r="M885" s="45">
        <v>56250</v>
      </c>
      <c r="N885" s="45">
        <v>106200</v>
      </c>
      <c r="O885" s="27">
        <v>76</v>
      </c>
      <c r="P885" s="46">
        <f t="shared" si="81"/>
        <v>0.47033898305084748</v>
      </c>
      <c r="Q885" s="27">
        <v>16</v>
      </c>
      <c r="R885" s="44">
        <f t="shared" si="78"/>
        <v>1699200</v>
      </c>
      <c r="S885" s="29">
        <v>0.02</v>
      </c>
      <c r="T885" s="44">
        <f t="shared" si="82"/>
        <v>1665216</v>
      </c>
      <c r="U885" s="44">
        <f t="shared" si="83"/>
        <v>765216</v>
      </c>
      <c r="V885" s="44"/>
    </row>
    <row r="886" spans="1:22" ht="14.5" x14ac:dyDescent="0.35">
      <c r="A886" s="47" t="str">
        <f t="shared" si="79"/>
        <v>SBY-BF-E1030-2018</v>
      </c>
      <c r="B886" s="26">
        <v>43236</v>
      </c>
      <c r="C886" s="42">
        <v>2018</v>
      </c>
      <c r="D886" s="27" t="s">
        <v>538</v>
      </c>
      <c r="E886" s="27" t="s">
        <v>41</v>
      </c>
      <c r="F886" s="42" t="str" cm="1">
        <f t="array" ref="F886">_xlfn.IFS(E886="Bandung","BDG",E886="Surabaya","SBY",E886="Jakarta","JKT")</f>
        <v>SBY</v>
      </c>
      <c r="G886" s="27" t="s">
        <v>42</v>
      </c>
      <c r="H886" s="27" t="s">
        <v>247</v>
      </c>
      <c r="I886" s="27" t="s">
        <v>236</v>
      </c>
      <c r="J886" s="26" t="s">
        <v>1665</v>
      </c>
      <c r="K886" s="26">
        <v>43238</v>
      </c>
      <c r="L886" s="27">
        <f t="shared" si="80"/>
        <v>2</v>
      </c>
      <c r="M886" s="45">
        <v>842400</v>
      </c>
      <c r="N886" s="45">
        <v>2054699.9999999998</v>
      </c>
      <c r="O886" s="27">
        <v>2</v>
      </c>
      <c r="P886" s="46">
        <f t="shared" si="81"/>
        <v>0.59001314060446775</v>
      </c>
      <c r="Q886" s="27">
        <v>2</v>
      </c>
      <c r="R886" s="44">
        <f t="shared" si="78"/>
        <v>4109399.9999999995</v>
      </c>
      <c r="S886" s="29">
        <v>0.08</v>
      </c>
      <c r="T886" s="44">
        <f t="shared" si="82"/>
        <v>3780647.9999999995</v>
      </c>
      <c r="U886" s="44">
        <f t="shared" si="83"/>
        <v>2095847.9999999995</v>
      </c>
      <c r="V886" s="44"/>
    </row>
    <row r="887" spans="1:22" ht="14.5" x14ac:dyDescent="0.35">
      <c r="A887" s="47" t="str">
        <f t="shared" si="79"/>
        <v>JKT-BA-E1028-2016</v>
      </c>
      <c r="B887" s="26">
        <v>42594</v>
      </c>
      <c r="C887" s="42">
        <v>2016</v>
      </c>
      <c r="D887" s="27" t="s">
        <v>100</v>
      </c>
      <c r="E887" s="27" t="s">
        <v>32</v>
      </c>
      <c r="F887" s="42" t="str" cm="1">
        <f t="array" ref="F887">_xlfn.IFS(E887="Bandung","BDG",E887="Surabaya","SBY",E887="Jakarta","JKT")</f>
        <v>JKT</v>
      </c>
      <c r="G887" s="27" t="s">
        <v>33</v>
      </c>
      <c r="H887" s="27" t="s">
        <v>101</v>
      </c>
      <c r="I887" s="27" t="s">
        <v>35</v>
      </c>
      <c r="J887" s="26" t="s">
        <v>1559</v>
      </c>
      <c r="K887" s="26">
        <v>42595</v>
      </c>
      <c r="L887" s="27">
        <f t="shared" si="80"/>
        <v>1</v>
      </c>
      <c r="M887" s="45">
        <v>480300.00000000006</v>
      </c>
      <c r="N887" s="45">
        <v>2287200</v>
      </c>
      <c r="O887" s="27">
        <v>90</v>
      </c>
      <c r="P887" s="46">
        <f t="shared" si="81"/>
        <v>0.79000524658971671</v>
      </c>
      <c r="Q887" s="27">
        <v>16</v>
      </c>
      <c r="R887" s="44">
        <f t="shared" si="78"/>
        <v>36595200</v>
      </c>
      <c r="S887" s="29">
        <v>0.1</v>
      </c>
      <c r="T887" s="44">
        <f t="shared" si="82"/>
        <v>32935680</v>
      </c>
      <c r="U887" s="44">
        <f t="shared" si="83"/>
        <v>25250880</v>
      </c>
      <c r="V887" s="44"/>
    </row>
    <row r="888" spans="1:22" ht="14.5" x14ac:dyDescent="0.35">
      <c r="A888" s="47" t="str">
        <f t="shared" si="79"/>
        <v>JKT-BA-E1028-2018</v>
      </c>
      <c r="B888" s="26">
        <v>43442</v>
      </c>
      <c r="C888" s="42">
        <v>2018</v>
      </c>
      <c r="D888" s="27" t="s">
        <v>100</v>
      </c>
      <c r="E888" s="27" t="s">
        <v>32</v>
      </c>
      <c r="F888" s="42" t="str" cm="1">
        <f t="array" ref="F888">_xlfn.IFS(E888="Bandung","BDG",E888="Surabaya","SBY",E888="Jakarta","JKT")</f>
        <v>JKT</v>
      </c>
      <c r="G888" s="27" t="s">
        <v>33</v>
      </c>
      <c r="H888" s="27" t="s">
        <v>386</v>
      </c>
      <c r="I888" s="27" t="s">
        <v>35</v>
      </c>
      <c r="J888" s="26">
        <v>43385</v>
      </c>
      <c r="K888" s="26">
        <v>43444</v>
      </c>
      <c r="L888" s="27">
        <f t="shared" si="80"/>
        <v>2</v>
      </c>
      <c r="M888" s="45">
        <v>780600</v>
      </c>
      <c r="N888" s="45">
        <v>1258950</v>
      </c>
      <c r="O888" s="27">
        <v>3</v>
      </c>
      <c r="P888" s="46">
        <f t="shared" si="81"/>
        <v>0.3799594900512332</v>
      </c>
      <c r="Q888" s="27">
        <v>3</v>
      </c>
      <c r="R888" s="44">
        <f t="shared" si="78"/>
        <v>3776850</v>
      </c>
      <c r="S888" s="29">
        <v>0</v>
      </c>
      <c r="T888" s="44">
        <f t="shared" si="82"/>
        <v>3776850</v>
      </c>
      <c r="U888" s="44">
        <f t="shared" si="83"/>
        <v>1435050</v>
      </c>
      <c r="V888" s="44"/>
    </row>
    <row r="889" spans="1:22" ht="14.5" x14ac:dyDescent="0.35">
      <c r="A889" s="47" t="str">
        <f t="shared" si="79"/>
        <v>JKT-BA-E1028-2019</v>
      </c>
      <c r="B889" s="26">
        <v>43806</v>
      </c>
      <c r="C889" s="42">
        <v>2019</v>
      </c>
      <c r="D889" s="27" t="s">
        <v>100</v>
      </c>
      <c r="E889" s="27" t="s">
        <v>32</v>
      </c>
      <c r="F889" s="42" t="str" cm="1">
        <f t="array" ref="F889">_xlfn.IFS(E889="Bandung","BDG",E889="Surabaya","SBY",E889="Jakarta","JKT")</f>
        <v>JKT</v>
      </c>
      <c r="G889" s="27" t="s">
        <v>33</v>
      </c>
      <c r="H889" s="27" t="s">
        <v>193</v>
      </c>
      <c r="I889" s="27" t="s">
        <v>35</v>
      </c>
      <c r="J889" s="26">
        <v>43689</v>
      </c>
      <c r="K889" s="26">
        <v>43807</v>
      </c>
      <c r="L889" s="27">
        <f t="shared" si="80"/>
        <v>1</v>
      </c>
      <c r="M889" s="45">
        <v>252750.00000000003</v>
      </c>
      <c r="N889" s="45">
        <v>407700</v>
      </c>
      <c r="O889" s="27">
        <v>50</v>
      </c>
      <c r="P889" s="46">
        <f t="shared" si="81"/>
        <v>0.38005886681383361</v>
      </c>
      <c r="Q889" s="27">
        <v>50</v>
      </c>
      <c r="R889" s="44">
        <f t="shared" si="78"/>
        <v>20385000</v>
      </c>
      <c r="S889" s="29">
        <v>0.02</v>
      </c>
      <c r="T889" s="44">
        <f t="shared" si="82"/>
        <v>19977300</v>
      </c>
      <c r="U889" s="44">
        <f t="shared" si="83"/>
        <v>7339799.9999999981</v>
      </c>
      <c r="V889" s="44"/>
    </row>
    <row r="890" spans="1:22" ht="14.5" x14ac:dyDescent="0.35">
      <c r="A890" s="47" t="str">
        <f t="shared" si="79"/>
        <v>JKT-BH-E1029-2017</v>
      </c>
      <c r="B890" s="26">
        <v>42885</v>
      </c>
      <c r="C890" s="42">
        <v>2017</v>
      </c>
      <c r="D890" s="27" t="s">
        <v>371</v>
      </c>
      <c r="E890" s="27" t="s">
        <v>32</v>
      </c>
      <c r="F890" s="42" t="str" cm="1">
        <f t="array" ref="F890">_xlfn.IFS(E890="Bandung","BDG",E890="Surabaya","SBY",E890="Jakarta","JKT")</f>
        <v>JKT</v>
      </c>
      <c r="G890" s="27" t="s">
        <v>37</v>
      </c>
      <c r="H890" s="27" t="s">
        <v>372</v>
      </c>
      <c r="I890" s="27" t="s">
        <v>39</v>
      </c>
      <c r="J890" s="26">
        <v>42886</v>
      </c>
      <c r="K890" s="26">
        <v>42886</v>
      </c>
      <c r="L890" s="27">
        <f t="shared" si="80"/>
        <v>1</v>
      </c>
      <c r="M890" s="45">
        <v>17250</v>
      </c>
      <c r="N890" s="45">
        <v>40050</v>
      </c>
      <c r="O890" s="27">
        <v>19</v>
      </c>
      <c r="P890" s="46">
        <f t="shared" si="81"/>
        <v>0.56928838951310856</v>
      </c>
      <c r="Q890" s="27">
        <v>19</v>
      </c>
      <c r="R890" s="44">
        <f t="shared" si="78"/>
        <v>760950</v>
      </c>
      <c r="S890" s="29">
        <v>0.03</v>
      </c>
      <c r="T890" s="44">
        <f t="shared" si="82"/>
        <v>738121.5</v>
      </c>
      <c r="U890" s="44">
        <f t="shared" si="83"/>
        <v>410371.5</v>
      </c>
      <c r="V890" s="44"/>
    </row>
    <row r="891" spans="1:22" ht="14.5" x14ac:dyDescent="0.35">
      <c r="A891" s="47" t="str">
        <f t="shared" si="79"/>
        <v>JKT-BH-E1029-2018</v>
      </c>
      <c r="B891" s="26">
        <v>43253</v>
      </c>
      <c r="C891" s="42">
        <v>2018</v>
      </c>
      <c r="D891" s="27" t="s">
        <v>371</v>
      </c>
      <c r="E891" s="27" t="s">
        <v>32</v>
      </c>
      <c r="F891" s="42" t="str" cm="1">
        <f t="array" ref="F891">_xlfn.IFS(E891="Bandung","BDG",E891="Surabaya","SBY",E891="Jakarta","JKT")</f>
        <v>JKT</v>
      </c>
      <c r="G891" s="27" t="s">
        <v>37</v>
      </c>
      <c r="H891" s="27" t="s">
        <v>309</v>
      </c>
      <c r="I891" s="27" t="s">
        <v>35</v>
      </c>
      <c r="J891" s="26">
        <v>43226</v>
      </c>
      <c r="K891" s="26">
        <v>43256</v>
      </c>
      <c r="L891" s="27">
        <f t="shared" si="80"/>
        <v>3</v>
      </c>
      <c r="M891" s="45">
        <v>50550</v>
      </c>
      <c r="N891" s="45">
        <v>82950</v>
      </c>
      <c r="O891" s="27">
        <v>12</v>
      </c>
      <c r="P891" s="46">
        <f t="shared" si="81"/>
        <v>0.39059674502712477</v>
      </c>
      <c r="Q891" s="27">
        <v>12</v>
      </c>
      <c r="R891" s="44">
        <f t="shared" si="78"/>
        <v>995400</v>
      </c>
      <c r="S891" s="29">
        <v>0.06</v>
      </c>
      <c r="T891" s="44">
        <f t="shared" si="82"/>
        <v>935676</v>
      </c>
      <c r="U891" s="44">
        <f t="shared" si="83"/>
        <v>329076</v>
      </c>
      <c r="V891" s="44"/>
    </row>
    <row r="892" spans="1:22" ht="14.5" x14ac:dyDescent="0.35">
      <c r="A892" s="47" t="str">
        <f t="shared" si="79"/>
        <v>JKT-BH-E1029-2018</v>
      </c>
      <c r="B892" s="26">
        <v>43253</v>
      </c>
      <c r="C892" s="42">
        <v>2018</v>
      </c>
      <c r="D892" s="27" t="s">
        <v>371</v>
      </c>
      <c r="E892" s="27" t="s">
        <v>32</v>
      </c>
      <c r="F892" s="42" t="str" cm="1">
        <f t="array" ref="F892">_xlfn.IFS(E892="Bandung","BDG",E892="Surabaya","SBY",E892="Jakarta","JKT")</f>
        <v>JKT</v>
      </c>
      <c r="G892" s="27" t="s">
        <v>37</v>
      </c>
      <c r="H892" s="27" t="s">
        <v>370</v>
      </c>
      <c r="I892" s="27" t="s">
        <v>39</v>
      </c>
      <c r="J892" s="26">
        <v>43254</v>
      </c>
      <c r="K892" s="26">
        <v>43165</v>
      </c>
      <c r="L892" s="27">
        <f t="shared" si="80"/>
        <v>-88</v>
      </c>
      <c r="M892" s="45">
        <v>32400.000000000004</v>
      </c>
      <c r="N892" s="45">
        <v>57750</v>
      </c>
      <c r="O892" s="27">
        <v>12</v>
      </c>
      <c r="P892" s="46">
        <f t="shared" si="81"/>
        <v>0.43896103896103889</v>
      </c>
      <c r="Q892" s="27">
        <v>12</v>
      </c>
      <c r="R892" s="44">
        <f t="shared" si="78"/>
        <v>693000</v>
      </c>
      <c r="S892" s="29">
        <v>0.1</v>
      </c>
      <c r="T892" s="44">
        <f t="shared" si="82"/>
        <v>623700</v>
      </c>
      <c r="U892" s="44">
        <f t="shared" si="83"/>
        <v>234899.99999999994</v>
      </c>
      <c r="V892" s="44"/>
    </row>
    <row r="893" spans="1:22" ht="14.5" x14ac:dyDescent="0.35">
      <c r="A893" s="47" t="str">
        <f t="shared" si="79"/>
        <v>SBY-BF-E1038-2018</v>
      </c>
      <c r="B893" s="26">
        <v>43326</v>
      </c>
      <c r="C893" s="42">
        <v>2018</v>
      </c>
      <c r="D893" s="27" t="s">
        <v>580</v>
      </c>
      <c r="E893" s="27" t="s">
        <v>41</v>
      </c>
      <c r="F893" s="42" t="str" cm="1">
        <f t="array" ref="F893">_xlfn.IFS(E893="Bandung","BDG",E893="Surabaya","SBY",E893="Jakarta","JKT")</f>
        <v>SBY</v>
      </c>
      <c r="G893" s="27" t="s">
        <v>98</v>
      </c>
      <c r="H893" s="27" t="s">
        <v>72</v>
      </c>
      <c r="I893" s="27" t="s">
        <v>73</v>
      </c>
      <c r="J893" s="26" t="s">
        <v>1685</v>
      </c>
      <c r="K893" s="26">
        <v>43327</v>
      </c>
      <c r="L893" s="27">
        <f t="shared" si="80"/>
        <v>1</v>
      </c>
      <c r="M893" s="45">
        <v>51300</v>
      </c>
      <c r="N893" s="45">
        <v>125100</v>
      </c>
      <c r="O893" s="27">
        <v>21</v>
      </c>
      <c r="P893" s="46">
        <f t="shared" si="81"/>
        <v>0.58992805755395683</v>
      </c>
      <c r="Q893" s="27">
        <v>21</v>
      </c>
      <c r="R893" s="44">
        <f t="shared" si="78"/>
        <v>2627100</v>
      </c>
      <c r="S893" s="29">
        <v>0.03</v>
      </c>
      <c r="T893" s="44">
        <f t="shared" si="82"/>
        <v>2548287</v>
      </c>
      <c r="U893" s="44">
        <f t="shared" si="83"/>
        <v>1470987</v>
      </c>
      <c r="V893" s="44"/>
    </row>
    <row r="894" spans="1:22" ht="14.5" x14ac:dyDescent="0.35">
      <c r="A894" s="47" t="str">
        <f t="shared" si="79"/>
        <v>SBY-BS-E1032-2017</v>
      </c>
      <c r="B894" s="26">
        <v>42768</v>
      </c>
      <c r="C894" s="42">
        <v>2017</v>
      </c>
      <c r="D894" s="27" t="s">
        <v>291</v>
      </c>
      <c r="E894" s="27" t="s">
        <v>41</v>
      </c>
      <c r="F894" s="42" t="str" cm="1">
        <f t="array" ref="F894">_xlfn.IFS(E894="Bandung","BDG",E894="Surabaya","SBY",E894="Jakarta","JKT")</f>
        <v>SBY</v>
      </c>
      <c r="G894" s="27" t="s">
        <v>53</v>
      </c>
      <c r="H894" s="27" t="s">
        <v>214</v>
      </c>
      <c r="I894" s="27" t="s">
        <v>35</v>
      </c>
      <c r="J894" s="26">
        <v>42827</v>
      </c>
      <c r="K894" s="26">
        <v>42770</v>
      </c>
      <c r="L894" s="27">
        <f t="shared" si="80"/>
        <v>2</v>
      </c>
      <c r="M894" s="45">
        <v>54750</v>
      </c>
      <c r="N894" s="45">
        <v>89700</v>
      </c>
      <c r="O894" s="27">
        <v>40</v>
      </c>
      <c r="P894" s="46">
        <f t="shared" si="81"/>
        <v>0.38963210702341139</v>
      </c>
      <c r="Q894" s="27">
        <v>40</v>
      </c>
      <c r="R894" s="44">
        <f t="shared" si="78"/>
        <v>3588000</v>
      </c>
      <c r="S894" s="29">
        <v>0</v>
      </c>
      <c r="T894" s="44">
        <f t="shared" si="82"/>
        <v>3588000</v>
      </c>
      <c r="U894" s="44">
        <f t="shared" si="83"/>
        <v>1398000</v>
      </c>
      <c r="V894" s="44"/>
    </row>
    <row r="895" spans="1:22" ht="14.5" x14ac:dyDescent="0.35">
      <c r="A895" s="47" t="str">
        <f t="shared" si="79"/>
        <v>SBY-BS-E1032-2018</v>
      </c>
      <c r="B895" s="26">
        <v>43230</v>
      </c>
      <c r="C895" s="42">
        <v>2018</v>
      </c>
      <c r="D895" s="27" t="s">
        <v>291</v>
      </c>
      <c r="E895" s="27" t="s">
        <v>41</v>
      </c>
      <c r="F895" s="42" t="str" cm="1">
        <f t="array" ref="F895">_xlfn.IFS(E895="Bandung","BDG",E895="Surabaya","SBY",E895="Jakarta","JKT")</f>
        <v>SBY</v>
      </c>
      <c r="G895" s="27" t="s">
        <v>53</v>
      </c>
      <c r="H895" s="27" t="s">
        <v>69</v>
      </c>
      <c r="I895" s="27" t="s">
        <v>39</v>
      </c>
      <c r="J895" s="26">
        <v>43439</v>
      </c>
      <c r="K895" s="26">
        <v>43232</v>
      </c>
      <c r="L895" s="27">
        <f t="shared" si="80"/>
        <v>2</v>
      </c>
      <c r="M895" s="45">
        <v>10650</v>
      </c>
      <c r="N895" s="45">
        <v>17100</v>
      </c>
      <c r="O895" s="27">
        <v>73</v>
      </c>
      <c r="P895" s="46">
        <f t="shared" si="81"/>
        <v>0.37719298245614036</v>
      </c>
      <c r="Q895" s="27">
        <v>42</v>
      </c>
      <c r="R895" s="44">
        <f t="shared" si="78"/>
        <v>718200</v>
      </c>
      <c r="S895" s="29">
        <v>0.06</v>
      </c>
      <c r="T895" s="44">
        <f t="shared" si="82"/>
        <v>675108</v>
      </c>
      <c r="U895" s="44">
        <f t="shared" si="83"/>
        <v>227808</v>
      </c>
      <c r="V895" s="44"/>
    </row>
    <row r="896" spans="1:22" ht="14.5" x14ac:dyDescent="0.35">
      <c r="A896" s="47" t="str">
        <f t="shared" si="79"/>
        <v>SBY-BS-E1032-2019</v>
      </c>
      <c r="B896" s="26">
        <v>43677</v>
      </c>
      <c r="C896" s="42">
        <v>2019</v>
      </c>
      <c r="D896" s="27" t="s">
        <v>291</v>
      </c>
      <c r="E896" s="27" t="s">
        <v>41</v>
      </c>
      <c r="F896" s="42" t="str" cm="1">
        <f t="array" ref="F896">_xlfn.IFS(E896="Bandung","BDG",E896="Surabaya","SBY",E896="Jakarta","JKT")</f>
        <v>SBY</v>
      </c>
      <c r="G896" s="27" t="s">
        <v>53</v>
      </c>
      <c r="H896" s="27" t="s">
        <v>400</v>
      </c>
      <c r="I896" s="27" t="s">
        <v>39</v>
      </c>
      <c r="J896" s="26">
        <v>43504</v>
      </c>
      <c r="K896" s="26">
        <v>43679</v>
      </c>
      <c r="L896" s="27">
        <f t="shared" si="80"/>
        <v>2</v>
      </c>
      <c r="M896" s="45">
        <v>15750</v>
      </c>
      <c r="N896" s="45">
        <v>29250</v>
      </c>
      <c r="O896" s="27">
        <v>43</v>
      </c>
      <c r="P896" s="46">
        <f t="shared" si="81"/>
        <v>0.46153846153846156</v>
      </c>
      <c r="Q896" s="27">
        <v>23</v>
      </c>
      <c r="R896" s="44">
        <f t="shared" si="78"/>
        <v>672750</v>
      </c>
      <c r="S896" s="29">
        <v>0.09</v>
      </c>
      <c r="T896" s="44">
        <f t="shared" si="82"/>
        <v>612202.5</v>
      </c>
      <c r="U896" s="44">
        <f t="shared" si="83"/>
        <v>249952.5</v>
      </c>
      <c r="V896" s="44"/>
    </row>
    <row r="897" spans="1:22" ht="14.5" x14ac:dyDescent="0.35">
      <c r="A897" s="47" t="str">
        <f t="shared" si="79"/>
        <v>BDG-BW-E1041-2016</v>
      </c>
      <c r="B897" s="26">
        <v>42731</v>
      </c>
      <c r="C897" s="42">
        <v>2016</v>
      </c>
      <c r="D897" s="27" t="s">
        <v>268</v>
      </c>
      <c r="E897" s="27" t="s">
        <v>136</v>
      </c>
      <c r="F897" s="42" t="str" cm="1">
        <f t="array" ref="F897">_xlfn.IFS(E897="Bandung","BDG",E897="Surabaya","SBY",E897="Jakarta","JKT")</f>
        <v>BDG</v>
      </c>
      <c r="G897" s="27" t="s">
        <v>166</v>
      </c>
      <c r="H897" s="27" t="s">
        <v>269</v>
      </c>
      <c r="I897" s="27" t="s">
        <v>73</v>
      </c>
      <c r="J897" s="26">
        <v>42735</v>
      </c>
      <c r="K897" s="26">
        <v>42735</v>
      </c>
      <c r="L897" s="27">
        <f t="shared" si="80"/>
        <v>4</v>
      </c>
      <c r="M897" s="45">
        <v>37500</v>
      </c>
      <c r="N897" s="45">
        <v>85200</v>
      </c>
      <c r="O897" s="27">
        <v>46</v>
      </c>
      <c r="P897" s="46">
        <f t="shared" si="81"/>
        <v>0.5598591549295775</v>
      </c>
      <c r="Q897" s="27">
        <v>46</v>
      </c>
      <c r="R897" s="44">
        <f t="shared" si="78"/>
        <v>3919200</v>
      </c>
      <c r="S897" s="29">
        <v>0.1</v>
      </c>
      <c r="T897" s="44">
        <f t="shared" si="82"/>
        <v>3527280</v>
      </c>
      <c r="U897" s="44">
        <f t="shared" si="83"/>
        <v>1802280</v>
      </c>
      <c r="V897" s="44"/>
    </row>
    <row r="898" spans="1:22" ht="14.5" x14ac:dyDescent="0.35">
      <c r="A898" s="47" t="str">
        <f t="shared" si="79"/>
        <v>BDG-BW-E1041-2018</v>
      </c>
      <c r="B898" s="26">
        <v>43250</v>
      </c>
      <c r="C898" s="42">
        <v>2018</v>
      </c>
      <c r="D898" s="27" t="s">
        <v>268</v>
      </c>
      <c r="E898" s="27" t="s">
        <v>136</v>
      </c>
      <c r="F898" s="42" t="str" cm="1">
        <f t="array" ref="F898">_xlfn.IFS(E898="Bandung","BDG",E898="Surabaya","SBY",E898="Jakarta","JKT")</f>
        <v>BDG</v>
      </c>
      <c r="G898" s="27" t="s">
        <v>166</v>
      </c>
      <c r="H898" s="27" t="s">
        <v>490</v>
      </c>
      <c r="I898" s="27" t="s">
        <v>35</v>
      </c>
      <c r="J898" s="26" t="s">
        <v>1668</v>
      </c>
      <c r="K898" s="26">
        <v>43251</v>
      </c>
      <c r="L898" s="27">
        <f t="shared" si="80"/>
        <v>1</v>
      </c>
      <c r="M898" s="45">
        <v>17850</v>
      </c>
      <c r="N898" s="45">
        <v>29700</v>
      </c>
      <c r="O898" s="27">
        <v>3</v>
      </c>
      <c r="P898" s="46">
        <f t="shared" si="81"/>
        <v>0.39898989898989901</v>
      </c>
      <c r="Q898" s="27">
        <v>3</v>
      </c>
      <c r="R898" s="44">
        <f t="shared" si="78"/>
        <v>89100</v>
      </c>
      <c r="S898" s="29">
        <v>0.05</v>
      </c>
      <c r="T898" s="44">
        <f t="shared" si="82"/>
        <v>84645</v>
      </c>
      <c r="U898" s="44">
        <f t="shared" si="83"/>
        <v>31095</v>
      </c>
      <c r="V898" s="44"/>
    </row>
    <row r="899" spans="1:22" ht="14.5" x14ac:dyDescent="0.35">
      <c r="A899" s="47" t="str">
        <f t="shared" si="79"/>
        <v>BDG-BW-E1041-2019</v>
      </c>
      <c r="B899" s="26">
        <v>43806</v>
      </c>
      <c r="C899" s="42">
        <v>2019</v>
      </c>
      <c r="D899" s="27" t="s">
        <v>268</v>
      </c>
      <c r="E899" s="27" t="s">
        <v>136</v>
      </c>
      <c r="F899" s="42" t="str" cm="1">
        <f t="array" ref="F899">_xlfn.IFS(E899="Bandung","BDG",E899="Surabaya","SBY",E899="Jakarta","JKT")</f>
        <v>BDG</v>
      </c>
      <c r="G899" s="27" t="s">
        <v>166</v>
      </c>
      <c r="H899" s="27" t="s">
        <v>363</v>
      </c>
      <c r="I899" s="27" t="s">
        <v>236</v>
      </c>
      <c r="J899" s="26">
        <v>43815</v>
      </c>
      <c r="K899" s="26">
        <v>43815</v>
      </c>
      <c r="L899" s="27">
        <f t="shared" si="80"/>
        <v>9</v>
      </c>
      <c r="M899" s="45">
        <v>5669850</v>
      </c>
      <c r="N899" s="45">
        <v>8999850</v>
      </c>
      <c r="O899" s="27">
        <v>16</v>
      </c>
      <c r="P899" s="46">
        <f t="shared" si="81"/>
        <v>0.37000616676944614</v>
      </c>
      <c r="Q899" s="27">
        <v>16</v>
      </c>
      <c r="R899" s="44">
        <f t="shared" si="78"/>
        <v>143997600</v>
      </c>
      <c r="S899" s="29">
        <v>0</v>
      </c>
      <c r="T899" s="44">
        <f t="shared" si="82"/>
        <v>143997600</v>
      </c>
      <c r="U899" s="44">
        <f t="shared" si="83"/>
        <v>53280000</v>
      </c>
      <c r="V899" s="44"/>
    </row>
    <row r="900" spans="1:22" ht="14.5" x14ac:dyDescent="0.35">
      <c r="A900" s="47" t="str">
        <f t="shared" si="79"/>
        <v>BDG-BW-E1041-2019</v>
      </c>
      <c r="B900" s="26">
        <v>43806</v>
      </c>
      <c r="C900" s="42">
        <v>2019</v>
      </c>
      <c r="D900" s="27" t="s">
        <v>268</v>
      </c>
      <c r="E900" s="27" t="s">
        <v>136</v>
      </c>
      <c r="F900" s="42" t="str" cm="1">
        <f t="array" ref="F900">_xlfn.IFS(E900="Bandung","BDG",E900="Surabaya","SBY",E900="Jakarta","JKT")</f>
        <v>BDG</v>
      </c>
      <c r="G900" s="27" t="s">
        <v>166</v>
      </c>
      <c r="H900" s="27" t="s">
        <v>182</v>
      </c>
      <c r="I900" s="27" t="s">
        <v>39</v>
      </c>
      <c r="J900" s="26">
        <v>43815</v>
      </c>
      <c r="K900" s="26">
        <v>43815</v>
      </c>
      <c r="L900" s="27">
        <f t="shared" si="80"/>
        <v>9</v>
      </c>
      <c r="M900" s="45">
        <v>166650</v>
      </c>
      <c r="N900" s="45">
        <v>297600</v>
      </c>
      <c r="O900" s="27">
        <v>39</v>
      </c>
      <c r="P900" s="46">
        <f t="shared" si="81"/>
        <v>0.44002016129032256</v>
      </c>
      <c r="Q900" s="27">
        <v>39</v>
      </c>
      <c r="R900" s="44">
        <f t="shared" ref="R900:R963" si="84">N900*Q900</f>
        <v>11606400</v>
      </c>
      <c r="S900" s="29">
        <v>0.01</v>
      </c>
      <c r="T900" s="44">
        <f t="shared" si="82"/>
        <v>11490336</v>
      </c>
      <c r="U900" s="44">
        <f t="shared" si="83"/>
        <v>4990986</v>
      </c>
      <c r="V900" s="44"/>
    </row>
    <row r="901" spans="1:22" ht="14.5" x14ac:dyDescent="0.35">
      <c r="A901" s="47" t="str">
        <f t="shared" ref="A901:A964" si="85">_xlfn.CONCAT(F901,"-",LEFT(D901,1),MID(D901,FIND(" ",D901)+1,1),"-",G901,"-",C901)</f>
        <v>SBY-BS-E1031-2017</v>
      </c>
      <c r="B901" s="26">
        <v>42873</v>
      </c>
      <c r="C901" s="42">
        <v>2017</v>
      </c>
      <c r="D901" s="27" t="s">
        <v>361</v>
      </c>
      <c r="E901" s="27" t="s">
        <v>41</v>
      </c>
      <c r="F901" s="42" t="str" cm="1">
        <f t="array" ref="F901">_xlfn.IFS(E901="Bandung","BDG",E901="Surabaya","SBY",E901="Jakarta","JKT")</f>
        <v>SBY</v>
      </c>
      <c r="G901" s="27" t="s">
        <v>48</v>
      </c>
      <c r="H901" s="27" t="s">
        <v>206</v>
      </c>
      <c r="I901" s="27" t="s">
        <v>35</v>
      </c>
      <c r="J901" s="26">
        <v>42874</v>
      </c>
      <c r="K901" s="26">
        <v>42874</v>
      </c>
      <c r="L901" s="27">
        <f t="shared" ref="L901:L964" si="86">K901-B901</f>
        <v>1</v>
      </c>
      <c r="M901" s="45">
        <v>817800</v>
      </c>
      <c r="N901" s="45">
        <v>1514550</v>
      </c>
      <c r="O901" s="27">
        <v>28</v>
      </c>
      <c r="P901" s="46">
        <f t="shared" ref="P901:P964" si="87">(N901-M901)/N901</f>
        <v>0.46003763494107158</v>
      </c>
      <c r="Q901" s="27">
        <v>15</v>
      </c>
      <c r="R901" s="44">
        <f t="shared" si="84"/>
        <v>22718250</v>
      </c>
      <c r="S901" s="29">
        <v>0.08</v>
      </c>
      <c r="T901" s="44">
        <f t="shared" ref="T901:T964" si="88">R901*(1-S901)</f>
        <v>20900790</v>
      </c>
      <c r="U901" s="44">
        <f t="shared" ref="U901:U964" si="89">T901-(M901*Q901)</f>
        <v>8633790</v>
      </c>
      <c r="V901" s="44"/>
    </row>
    <row r="902" spans="1:22" ht="14.5" x14ac:dyDescent="0.35">
      <c r="A902" s="47" t="str">
        <f t="shared" si="85"/>
        <v>SBY-BP-E1033-2016</v>
      </c>
      <c r="B902" s="26">
        <v>42548</v>
      </c>
      <c r="C902" s="42">
        <v>2016</v>
      </c>
      <c r="D902" s="27" t="s">
        <v>75</v>
      </c>
      <c r="E902" s="27" t="s">
        <v>41</v>
      </c>
      <c r="F902" s="42" t="str" cm="1">
        <f t="array" ref="F902">_xlfn.IFS(E902="Bandung","BDG",E902="Surabaya","SBY",E902="Jakarta","JKT")</f>
        <v>SBY</v>
      </c>
      <c r="G902" s="27" t="s">
        <v>60</v>
      </c>
      <c r="H902" s="27" t="s">
        <v>76</v>
      </c>
      <c r="I902" s="27" t="s">
        <v>35</v>
      </c>
      <c r="J902" s="26">
        <v>42549</v>
      </c>
      <c r="K902" s="26">
        <v>42549</v>
      </c>
      <c r="L902" s="27">
        <f t="shared" si="86"/>
        <v>1</v>
      </c>
      <c r="M902" s="45">
        <v>68850</v>
      </c>
      <c r="N902" s="45">
        <v>109200</v>
      </c>
      <c r="O902" s="27">
        <v>58</v>
      </c>
      <c r="P902" s="46">
        <f t="shared" si="87"/>
        <v>0.36950549450549453</v>
      </c>
      <c r="Q902" s="27">
        <v>22</v>
      </c>
      <c r="R902" s="44">
        <f t="shared" si="84"/>
        <v>2402400</v>
      </c>
      <c r="S902" s="29">
        <v>0.01</v>
      </c>
      <c r="T902" s="44">
        <f t="shared" si="88"/>
        <v>2378376</v>
      </c>
      <c r="U902" s="44">
        <f t="shared" si="89"/>
        <v>863676</v>
      </c>
      <c r="V902" s="44"/>
    </row>
    <row r="903" spans="1:22" ht="14.5" x14ac:dyDescent="0.35">
      <c r="A903" s="47" t="str">
        <f t="shared" si="85"/>
        <v>SBY-BP-E1033-2017</v>
      </c>
      <c r="B903" s="26">
        <v>42744</v>
      </c>
      <c r="C903" s="42">
        <v>2017</v>
      </c>
      <c r="D903" s="27" t="s">
        <v>75</v>
      </c>
      <c r="E903" s="27" t="s">
        <v>41</v>
      </c>
      <c r="F903" s="42" t="str" cm="1">
        <f t="array" ref="F903">_xlfn.IFS(E903="Bandung","BDG",E903="Surabaya","SBY",E903="Jakarta","JKT")</f>
        <v>SBY</v>
      </c>
      <c r="G903" s="27" t="s">
        <v>60</v>
      </c>
      <c r="H903" s="27" t="s">
        <v>277</v>
      </c>
      <c r="I903" s="27" t="s">
        <v>35</v>
      </c>
      <c r="J903" s="26">
        <v>42749</v>
      </c>
      <c r="K903" s="26">
        <v>42749</v>
      </c>
      <c r="L903" s="27">
        <f t="shared" si="86"/>
        <v>5</v>
      </c>
      <c r="M903" s="45">
        <v>332700</v>
      </c>
      <c r="N903" s="45">
        <v>811500</v>
      </c>
      <c r="O903" s="27">
        <v>19</v>
      </c>
      <c r="P903" s="46">
        <f t="shared" si="87"/>
        <v>0.59001848428835491</v>
      </c>
      <c r="Q903" s="27">
        <v>19</v>
      </c>
      <c r="R903" s="44">
        <f t="shared" si="84"/>
        <v>15418500</v>
      </c>
      <c r="S903" s="29">
        <v>0.1</v>
      </c>
      <c r="T903" s="44">
        <f t="shared" si="88"/>
        <v>13876650</v>
      </c>
      <c r="U903" s="44">
        <f t="shared" si="89"/>
        <v>7555350</v>
      </c>
      <c r="V903" s="44"/>
    </row>
    <row r="904" spans="1:22" ht="14.5" x14ac:dyDescent="0.35">
      <c r="A904" s="47" t="str">
        <f t="shared" si="85"/>
        <v>SBY-BS-E1031-2018</v>
      </c>
      <c r="B904" s="26">
        <v>43418</v>
      </c>
      <c r="C904" s="42">
        <v>2018</v>
      </c>
      <c r="D904" s="27" t="s">
        <v>614</v>
      </c>
      <c r="E904" s="27" t="s">
        <v>41</v>
      </c>
      <c r="F904" s="42" t="str" cm="1">
        <f t="array" ref="F904">_xlfn.IFS(E904="Bandung","BDG",E904="Surabaya","SBY",E904="Jakarta","JKT")</f>
        <v>SBY</v>
      </c>
      <c r="G904" s="27" t="s">
        <v>48</v>
      </c>
      <c r="H904" s="27" t="s">
        <v>209</v>
      </c>
      <c r="I904" s="27" t="s">
        <v>236</v>
      </c>
      <c r="J904" s="26" t="s">
        <v>1702</v>
      </c>
      <c r="K904" s="26">
        <v>43420</v>
      </c>
      <c r="L904" s="27">
        <f t="shared" si="86"/>
        <v>2</v>
      </c>
      <c r="M904" s="45">
        <v>3240000</v>
      </c>
      <c r="N904" s="45">
        <v>6749850</v>
      </c>
      <c r="O904" s="27">
        <v>89</v>
      </c>
      <c r="P904" s="46">
        <f t="shared" si="87"/>
        <v>0.51998933309629103</v>
      </c>
      <c r="Q904" s="27">
        <v>29</v>
      </c>
      <c r="R904" s="44">
        <f t="shared" si="84"/>
        <v>195745650</v>
      </c>
      <c r="S904" s="29">
        <v>0</v>
      </c>
      <c r="T904" s="44">
        <f t="shared" si="88"/>
        <v>195745650</v>
      </c>
      <c r="U904" s="44">
        <f t="shared" si="89"/>
        <v>101785650</v>
      </c>
      <c r="V904" s="44"/>
    </row>
    <row r="905" spans="1:22" ht="14.5" x14ac:dyDescent="0.35">
      <c r="A905" s="47" t="str">
        <f t="shared" si="85"/>
        <v>SBY-BS-E1031-2018</v>
      </c>
      <c r="B905" s="26">
        <v>43437</v>
      </c>
      <c r="C905" s="42">
        <v>2018</v>
      </c>
      <c r="D905" s="27" t="s">
        <v>614</v>
      </c>
      <c r="E905" s="27" t="s">
        <v>41</v>
      </c>
      <c r="F905" s="42" t="str" cm="1">
        <f t="array" ref="F905">_xlfn.IFS(E905="Bandung","BDG",E905="Surabaya","SBY",E905="Jakarta","JKT")</f>
        <v>SBY</v>
      </c>
      <c r="G905" s="27" t="s">
        <v>48</v>
      </c>
      <c r="H905" s="27" t="s">
        <v>244</v>
      </c>
      <c r="I905" s="27" t="s">
        <v>35</v>
      </c>
      <c r="J905" s="26">
        <v>43439</v>
      </c>
      <c r="K905" s="26">
        <v>43232</v>
      </c>
      <c r="L905" s="27">
        <f t="shared" si="86"/>
        <v>-205</v>
      </c>
      <c r="M905" s="45">
        <v>32700.000000000004</v>
      </c>
      <c r="N905" s="45">
        <v>52800</v>
      </c>
      <c r="O905" s="27">
        <v>50</v>
      </c>
      <c r="P905" s="46">
        <f t="shared" si="87"/>
        <v>0.38068181818181812</v>
      </c>
      <c r="Q905" s="27">
        <v>38</v>
      </c>
      <c r="R905" s="44">
        <f t="shared" si="84"/>
        <v>2006400</v>
      </c>
      <c r="S905" s="29">
        <v>0.09</v>
      </c>
      <c r="T905" s="44">
        <f t="shared" si="88"/>
        <v>1825824</v>
      </c>
      <c r="U905" s="44">
        <f t="shared" si="89"/>
        <v>583223.99999999977</v>
      </c>
      <c r="V905" s="44"/>
    </row>
    <row r="906" spans="1:22" ht="14.5" x14ac:dyDescent="0.35">
      <c r="A906" s="47" t="str">
        <f t="shared" si="85"/>
        <v>SBY-BP-E1041-2016</v>
      </c>
      <c r="B906" s="26">
        <v>42686</v>
      </c>
      <c r="C906" s="42">
        <v>2016</v>
      </c>
      <c r="D906" s="27" t="s">
        <v>224</v>
      </c>
      <c r="E906" s="27" t="s">
        <v>41</v>
      </c>
      <c r="F906" s="42" t="str" cm="1">
        <f t="array" ref="F906">_xlfn.IFS(E906="Bandung","BDG",E906="Surabaya","SBY",E906="Jakarta","JKT")</f>
        <v>SBY</v>
      </c>
      <c r="G906" s="27" t="s">
        <v>166</v>
      </c>
      <c r="H906" s="27" t="s">
        <v>99</v>
      </c>
      <c r="I906" s="27" t="s">
        <v>35</v>
      </c>
      <c r="J906" s="26" t="s">
        <v>1578</v>
      </c>
      <c r="K906" s="26">
        <v>42688</v>
      </c>
      <c r="L906" s="27">
        <f t="shared" si="86"/>
        <v>2</v>
      </c>
      <c r="M906" s="45">
        <v>95850</v>
      </c>
      <c r="N906" s="45">
        <v>299700</v>
      </c>
      <c r="O906" s="27">
        <v>50</v>
      </c>
      <c r="P906" s="46">
        <f t="shared" si="87"/>
        <v>0.68018018018018023</v>
      </c>
      <c r="Q906" s="27">
        <v>43</v>
      </c>
      <c r="R906" s="44">
        <f t="shared" si="84"/>
        <v>12887100</v>
      </c>
      <c r="S906" s="29">
        <v>0.1</v>
      </c>
      <c r="T906" s="44">
        <f t="shared" si="88"/>
        <v>11598390</v>
      </c>
      <c r="U906" s="44">
        <f t="shared" si="89"/>
        <v>7476840</v>
      </c>
      <c r="V906" s="44"/>
    </row>
    <row r="907" spans="1:22" ht="14.5" x14ac:dyDescent="0.35">
      <c r="A907" s="47" t="str">
        <f t="shared" si="85"/>
        <v>SBY-BP-E1041-2016</v>
      </c>
      <c r="B907" s="26">
        <v>42686</v>
      </c>
      <c r="C907" s="42">
        <v>2016</v>
      </c>
      <c r="D907" s="27" t="s">
        <v>224</v>
      </c>
      <c r="E907" s="27" t="s">
        <v>41</v>
      </c>
      <c r="F907" s="42" t="str" cm="1">
        <f t="array" ref="F907">_xlfn.IFS(E907="Bandung","BDG",E907="Surabaya","SBY",E907="Jakarta","JKT")</f>
        <v>SBY</v>
      </c>
      <c r="G907" s="27" t="s">
        <v>166</v>
      </c>
      <c r="H907" s="27" t="s">
        <v>225</v>
      </c>
      <c r="I907" s="27" t="s">
        <v>35</v>
      </c>
      <c r="J907" s="26" t="s">
        <v>1577</v>
      </c>
      <c r="K907" s="26">
        <v>42687</v>
      </c>
      <c r="L907" s="27">
        <f t="shared" si="86"/>
        <v>1</v>
      </c>
      <c r="M907" s="45">
        <v>27600</v>
      </c>
      <c r="N907" s="45">
        <v>43200</v>
      </c>
      <c r="O907" s="27">
        <v>37</v>
      </c>
      <c r="P907" s="46">
        <f t="shared" si="87"/>
        <v>0.3611111111111111</v>
      </c>
      <c r="Q907" s="27">
        <v>11</v>
      </c>
      <c r="R907" s="44">
        <f t="shared" si="84"/>
        <v>475200</v>
      </c>
      <c r="S907" s="29">
        <v>0.09</v>
      </c>
      <c r="T907" s="44">
        <f t="shared" si="88"/>
        <v>432432</v>
      </c>
      <c r="U907" s="44">
        <f t="shared" si="89"/>
        <v>128832</v>
      </c>
      <c r="V907" s="44"/>
    </row>
    <row r="908" spans="1:22" ht="14.5" x14ac:dyDescent="0.35">
      <c r="A908" s="47" t="str">
        <f t="shared" si="85"/>
        <v>SBY-BP-E1041-2017</v>
      </c>
      <c r="B908" s="26">
        <v>42932</v>
      </c>
      <c r="C908" s="42">
        <v>2017</v>
      </c>
      <c r="D908" s="27" t="s">
        <v>224</v>
      </c>
      <c r="E908" s="27" t="s">
        <v>41</v>
      </c>
      <c r="F908" s="42" t="str" cm="1">
        <f t="array" ref="F908">_xlfn.IFS(E908="Bandung","BDG",E908="Surabaya","SBY",E908="Jakarta","JKT")</f>
        <v>SBY</v>
      </c>
      <c r="G908" s="27" t="s">
        <v>166</v>
      </c>
      <c r="H908" s="27" t="s">
        <v>398</v>
      </c>
      <c r="I908" s="27" t="s">
        <v>39</v>
      </c>
      <c r="J908" s="26" t="s">
        <v>1615</v>
      </c>
      <c r="K908" s="26">
        <v>42934</v>
      </c>
      <c r="L908" s="27">
        <f t="shared" si="86"/>
        <v>2</v>
      </c>
      <c r="M908" s="45">
        <v>31950</v>
      </c>
      <c r="N908" s="45">
        <v>52350</v>
      </c>
      <c r="O908" s="27">
        <v>46</v>
      </c>
      <c r="P908" s="46">
        <f t="shared" si="87"/>
        <v>0.38968481375358166</v>
      </c>
      <c r="Q908" s="27">
        <v>46</v>
      </c>
      <c r="R908" s="44">
        <f t="shared" si="84"/>
        <v>2408100</v>
      </c>
      <c r="S908" s="29">
        <v>0.01</v>
      </c>
      <c r="T908" s="44">
        <f t="shared" si="88"/>
        <v>2384019</v>
      </c>
      <c r="U908" s="44">
        <f t="shared" si="89"/>
        <v>914319</v>
      </c>
      <c r="V908" s="44"/>
    </row>
    <row r="909" spans="1:22" ht="14.5" x14ac:dyDescent="0.35">
      <c r="A909" s="47" t="str">
        <f t="shared" si="85"/>
        <v>SBY-BA-E1032-2017</v>
      </c>
      <c r="B909" s="26">
        <v>43073</v>
      </c>
      <c r="C909" s="42">
        <v>2017</v>
      </c>
      <c r="D909" s="27" t="s">
        <v>472</v>
      </c>
      <c r="E909" s="27" t="s">
        <v>41</v>
      </c>
      <c r="F909" s="42" t="str" cm="1">
        <f t="array" ref="F909">_xlfn.IFS(E909="Bandung","BDG",E909="Surabaya","SBY",E909="Jakarta","JKT")</f>
        <v>SBY</v>
      </c>
      <c r="G909" s="27" t="s">
        <v>53</v>
      </c>
      <c r="H909" s="27" t="s">
        <v>473</v>
      </c>
      <c r="I909" s="27" t="s">
        <v>35</v>
      </c>
      <c r="J909" s="26">
        <v>43074</v>
      </c>
      <c r="K909" s="26">
        <v>42867</v>
      </c>
      <c r="L909" s="27">
        <f t="shared" si="86"/>
        <v>-206</v>
      </c>
      <c r="M909" s="45">
        <v>60450.000000000007</v>
      </c>
      <c r="N909" s="45">
        <v>140700</v>
      </c>
      <c r="O909" s="27">
        <v>17</v>
      </c>
      <c r="P909" s="46">
        <f t="shared" si="87"/>
        <v>0.57036247334754797</v>
      </c>
      <c r="Q909" s="27">
        <v>17</v>
      </c>
      <c r="R909" s="44">
        <f t="shared" si="84"/>
        <v>2391900</v>
      </c>
      <c r="S909" s="29">
        <v>0.09</v>
      </c>
      <c r="T909" s="44">
        <f t="shared" si="88"/>
        <v>2176629</v>
      </c>
      <c r="U909" s="44">
        <f t="shared" si="89"/>
        <v>1148979</v>
      </c>
      <c r="V909" s="44"/>
    </row>
    <row r="910" spans="1:22" ht="14.5" x14ac:dyDescent="0.35">
      <c r="A910" s="47" t="str">
        <f t="shared" si="85"/>
        <v>SBY-BA-E1032-2018</v>
      </c>
      <c r="B910" s="26">
        <v>43247</v>
      </c>
      <c r="C910" s="42">
        <v>2018</v>
      </c>
      <c r="D910" s="27" t="s">
        <v>472</v>
      </c>
      <c r="E910" s="27" t="s">
        <v>41</v>
      </c>
      <c r="F910" s="42" t="str" cm="1">
        <f t="array" ref="F910">_xlfn.IFS(E910="Bandung","BDG",E910="Surabaya","SBY",E910="Jakarta","JKT")</f>
        <v>SBY</v>
      </c>
      <c r="G910" s="27" t="s">
        <v>53</v>
      </c>
      <c r="H910" s="27" t="s">
        <v>144</v>
      </c>
      <c r="I910" s="27" t="s">
        <v>35</v>
      </c>
      <c r="J910" s="26" t="s">
        <v>1669</v>
      </c>
      <c r="K910" s="26">
        <v>43248</v>
      </c>
      <c r="L910" s="27">
        <f t="shared" si="86"/>
        <v>1</v>
      </c>
      <c r="M910" s="45">
        <v>2347500</v>
      </c>
      <c r="N910" s="45">
        <v>4514550</v>
      </c>
      <c r="O910" s="27">
        <v>61</v>
      </c>
      <c r="P910" s="46">
        <f t="shared" si="87"/>
        <v>0.48001461939728213</v>
      </c>
      <c r="Q910" s="27">
        <v>41</v>
      </c>
      <c r="R910" s="44">
        <f t="shared" si="84"/>
        <v>185096550</v>
      </c>
      <c r="S910" s="29">
        <v>0.1</v>
      </c>
      <c r="T910" s="44">
        <f t="shared" si="88"/>
        <v>166586895</v>
      </c>
      <c r="U910" s="44">
        <f t="shared" si="89"/>
        <v>70339395</v>
      </c>
      <c r="V910" s="44"/>
    </row>
    <row r="911" spans="1:22" ht="14.5" x14ac:dyDescent="0.35">
      <c r="A911" s="47" t="str">
        <f t="shared" si="85"/>
        <v>SBY-BP-E1036-2017</v>
      </c>
      <c r="B911" s="26">
        <v>42940</v>
      </c>
      <c r="C911" s="42">
        <v>2017</v>
      </c>
      <c r="D911" s="27" t="s">
        <v>404</v>
      </c>
      <c r="E911" s="27" t="s">
        <v>41</v>
      </c>
      <c r="F911" s="42" t="str" cm="1">
        <f t="array" ref="F911">_xlfn.IFS(E911="Bandung","BDG",E911="Surabaya","SBY",E911="Jakarta","JKT")</f>
        <v>SBY</v>
      </c>
      <c r="G911" s="27" t="s">
        <v>78</v>
      </c>
      <c r="H911" s="27" t="s">
        <v>51</v>
      </c>
      <c r="I911" s="27" t="s">
        <v>39</v>
      </c>
      <c r="J911" s="26">
        <v>42941</v>
      </c>
      <c r="K911" s="26">
        <v>42941</v>
      </c>
      <c r="L911" s="27">
        <f t="shared" si="86"/>
        <v>1</v>
      </c>
      <c r="M911" s="45">
        <v>16350.000000000002</v>
      </c>
      <c r="N911" s="45">
        <v>39000</v>
      </c>
      <c r="O911" s="27">
        <v>14</v>
      </c>
      <c r="P911" s="46">
        <f t="shared" si="87"/>
        <v>0.58076923076923082</v>
      </c>
      <c r="Q911" s="27">
        <v>2</v>
      </c>
      <c r="R911" s="44">
        <f t="shared" si="84"/>
        <v>78000</v>
      </c>
      <c r="S911" s="29">
        <v>0.03</v>
      </c>
      <c r="T911" s="44">
        <f t="shared" si="88"/>
        <v>75660</v>
      </c>
      <c r="U911" s="44">
        <f t="shared" si="89"/>
        <v>42960</v>
      </c>
      <c r="V911" s="44"/>
    </row>
    <row r="912" spans="1:22" ht="14.5" x14ac:dyDescent="0.35">
      <c r="A912" s="47" t="str">
        <f t="shared" si="85"/>
        <v>JKT-AA-E1028-2018</v>
      </c>
      <c r="B912" s="26">
        <v>43439</v>
      </c>
      <c r="C912" s="42">
        <v>2018</v>
      </c>
      <c r="D912" s="27" t="s">
        <v>619</v>
      </c>
      <c r="E912" s="27" t="s">
        <v>32</v>
      </c>
      <c r="F912" s="42" t="str" cm="1">
        <f t="array" ref="F912">_xlfn.IFS(E912="Bandung","BDG",E912="Surabaya","SBY",E912="Jakarta","JKT")</f>
        <v>JKT</v>
      </c>
      <c r="G912" s="27" t="s">
        <v>33</v>
      </c>
      <c r="H912" s="27" t="s">
        <v>569</v>
      </c>
      <c r="I912" s="27" t="s">
        <v>35</v>
      </c>
      <c r="J912" s="26">
        <v>43446</v>
      </c>
      <c r="K912" s="26">
        <v>43446</v>
      </c>
      <c r="L912" s="27">
        <f t="shared" si="86"/>
        <v>7</v>
      </c>
      <c r="M912" s="45">
        <v>52950</v>
      </c>
      <c r="N912" s="45">
        <v>129299.99999999999</v>
      </c>
      <c r="O912" s="27">
        <v>8</v>
      </c>
      <c r="P912" s="46">
        <f t="shared" si="87"/>
        <v>0.59048723897911826</v>
      </c>
      <c r="Q912" s="27">
        <v>8</v>
      </c>
      <c r="R912" s="44">
        <f t="shared" si="84"/>
        <v>1034399.9999999999</v>
      </c>
      <c r="S912" s="29">
        <v>0</v>
      </c>
      <c r="T912" s="44">
        <f t="shared" si="88"/>
        <v>1034399.9999999999</v>
      </c>
      <c r="U912" s="44">
        <f t="shared" si="89"/>
        <v>610799.99999999988</v>
      </c>
      <c r="V912" s="44"/>
    </row>
    <row r="913" spans="1:22" ht="14.5" x14ac:dyDescent="0.35">
      <c r="A913" s="47" t="str">
        <f t="shared" si="85"/>
        <v>JKT-AW-E1029-2019</v>
      </c>
      <c r="B913" s="26">
        <v>43514</v>
      </c>
      <c r="C913" s="42">
        <v>2019</v>
      </c>
      <c r="D913" s="27" t="s">
        <v>640</v>
      </c>
      <c r="E913" s="27" t="s">
        <v>32</v>
      </c>
      <c r="F913" s="42" t="str" cm="1">
        <f t="array" ref="F913">_xlfn.IFS(E913="Bandung","BDG",E913="Surabaya","SBY",E913="Jakarta","JKT")</f>
        <v>JKT</v>
      </c>
      <c r="G913" s="27" t="s">
        <v>37</v>
      </c>
      <c r="H913" s="27" t="s">
        <v>445</v>
      </c>
      <c r="I913" s="27" t="s">
        <v>35</v>
      </c>
      <c r="J913" s="26">
        <v>43514</v>
      </c>
      <c r="K913" s="26">
        <v>43514</v>
      </c>
      <c r="L913" s="27">
        <f t="shared" si="86"/>
        <v>0</v>
      </c>
      <c r="M913" s="45">
        <v>220500</v>
      </c>
      <c r="N913" s="45">
        <v>449850</v>
      </c>
      <c r="O913" s="27">
        <v>20</v>
      </c>
      <c r="P913" s="46">
        <f t="shared" si="87"/>
        <v>0.50983661220406806</v>
      </c>
      <c r="Q913" s="27">
        <v>20</v>
      </c>
      <c r="R913" s="44">
        <f t="shared" si="84"/>
        <v>8997000</v>
      </c>
      <c r="S913" s="29">
        <v>0.04</v>
      </c>
      <c r="T913" s="44">
        <f t="shared" si="88"/>
        <v>8637120</v>
      </c>
      <c r="U913" s="44">
        <f t="shared" si="89"/>
        <v>4227120</v>
      </c>
      <c r="V913" s="44"/>
    </row>
    <row r="914" spans="1:22" ht="14.5" x14ac:dyDescent="0.35">
      <c r="A914" s="47" t="str">
        <f t="shared" si="85"/>
        <v>JKT-AW-E1029-2019</v>
      </c>
      <c r="B914" s="26">
        <v>43547</v>
      </c>
      <c r="C914" s="42">
        <v>2019</v>
      </c>
      <c r="D914" s="27" t="s">
        <v>640</v>
      </c>
      <c r="E914" s="27" t="s">
        <v>32</v>
      </c>
      <c r="F914" s="42" t="str" cm="1">
        <f t="array" ref="F914">_xlfn.IFS(E914="Bandung","BDG",E914="Surabaya","SBY",E914="Jakarta","JKT")</f>
        <v>JKT</v>
      </c>
      <c r="G914" s="27" t="s">
        <v>37</v>
      </c>
      <c r="H914" s="27" t="s">
        <v>647</v>
      </c>
      <c r="I914" s="27" t="s">
        <v>39</v>
      </c>
      <c r="J914" s="26">
        <v>43548</v>
      </c>
      <c r="K914" s="26">
        <v>43548</v>
      </c>
      <c r="L914" s="27">
        <f t="shared" si="86"/>
        <v>1</v>
      </c>
      <c r="M914" s="45">
        <v>4800</v>
      </c>
      <c r="N914" s="45">
        <v>25200</v>
      </c>
      <c r="O914" s="27">
        <v>6</v>
      </c>
      <c r="P914" s="46">
        <f t="shared" si="87"/>
        <v>0.80952380952380953</v>
      </c>
      <c r="Q914" s="27">
        <v>6</v>
      </c>
      <c r="R914" s="44">
        <f t="shared" si="84"/>
        <v>151200</v>
      </c>
      <c r="S914" s="29">
        <v>0.05</v>
      </c>
      <c r="T914" s="44">
        <f t="shared" si="88"/>
        <v>143640</v>
      </c>
      <c r="U914" s="44">
        <f t="shared" si="89"/>
        <v>114840</v>
      </c>
      <c r="V914" s="44"/>
    </row>
    <row r="915" spans="1:22" ht="14.5" x14ac:dyDescent="0.35">
      <c r="A915" s="47" t="str">
        <f t="shared" si="85"/>
        <v>JKT-AW-E1029-2019</v>
      </c>
      <c r="B915" s="26">
        <v>43735</v>
      </c>
      <c r="C915" s="42">
        <v>2019</v>
      </c>
      <c r="D915" s="27" t="s">
        <v>640</v>
      </c>
      <c r="E915" s="27" t="s">
        <v>32</v>
      </c>
      <c r="F915" s="42" t="str" cm="1">
        <f t="array" ref="F915">_xlfn.IFS(E915="Bandung","BDG",E915="Surabaya","SBY",E915="Jakarta","JKT")</f>
        <v>JKT</v>
      </c>
      <c r="G915" s="27" t="s">
        <v>37</v>
      </c>
      <c r="H915" s="27" t="s">
        <v>119</v>
      </c>
      <c r="I915" s="27" t="s">
        <v>120</v>
      </c>
      <c r="J915" s="26" t="s">
        <v>1749</v>
      </c>
      <c r="K915" s="26">
        <v>43735</v>
      </c>
      <c r="L915" s="27">
        <f t="shared" si="86"/>
        <v>0</v>
      </c>
      <c r="M915" s="45">
        <v>132300</v>
      </c>
      <c r="N915" s="45">
        <v>314850</v>
      </c>
      <c r="O915" s="27">
        <v>2</v>
      </c>
      <c r="P915" s="46">
        <f t="shared" si="87"/>
        <v>0.57979990471653164</v>
      </c>
      <c r="Q915" s="27">
        <v>2</v>
      </c>
      <c r="R915" s="44">
        <f t="shared" si="84"/>
        <v>629700</v>
      </c>
      <c r="S915" s="29">
        <v>0.01</v>
      </c>
      <c r="T915" s="44">
        <f t="shared" si="88"/>
        <v>623403</v>
      </c>
      <c r="U915" s="44">
        <f t="shared" si="89"/>
        <v>358803</v>
      </c>
      <c r="V915" s="44"/>
    </row>
    <row r="916" spans="1:22" ht="14.5" x14ac:dyDescent="0.35">
      <c r="A916" s="47" t="str">
        <f t="shared" si="85"/>
        <v>JKT-AW-E1029-2019</v>
      </c>
      <c r="B916" s="26">
        <v>43735</v>
      </c>
      <c r="C916" s="42">
        <v>2019</v>
      </c>
      <c r="D916" s="27" t="s">
        <v>640</v>
      </c>
      <c r="E916" s="27" t="s">
        <v>32</v>
      </c>
      <c r="F916" s="42" t="str" cm="1">
        <f t="array" ref="F916">_xlfn.IFS(E916="Bandung","BDG",E916="Surabaya","SBY",E916="Jakarta","JKT")</f>
        <v>JKT</v>
      </c>
      <c r="G916" s="27" t="s">
        <v>37</v>
      </c>
      <c r="H916" s="27" t="s">
        <v>69</v>
      </c>
      <c r="I916" s="27" t="s">
        <v>39</v>
      </c>
      <c r="J916" s="26">
        <v>43506</v>
      </c>
      <c r="K916" s="26">
        <v>43740</v>
      </c>
      <c r="L916" s="27">
        <f t="shared" si="86"/>
        <v>5</v>
      </c>
      <c r="M916" s="45">
        <v>10650</v>
      </c>
      <c r="N916" s="45">
        <v>17100</v>
      </c>
      <c r="O916" s="27">
        <v>31</v>
      </c>
      <c r="P916" s="46">
        <f t="shared" si="87"/>
        <v>0.37719298245614036</v>
      </c>
      <c r="Q916" s="27">
        <v>31</v>
      </c>
      <c r="R916" s="44">
        <f t="shared" si="84"/>
        <v>530100</v>
      </c>
      <c r="S916" s="29">
        <v>7.0000000000000007E-2</v>
      </c>
      <c r="T916" s="44">
        <f t="shared" si="88"/>
        <v>492992.99999999994</v>
      </c>
      <c r="U916" s="44">
        <f t="shared" si="89"/>
        <v>162842.99999999994</v>
      </c>
      <c r="V916" s="44"/>
    </row>
    <row r="917" spans="1:22" ht="14.5" x14ac:dyDescent="0.35">
      <c r="A917" s="47" t="str">
        <f t="shared" si="85"/>
        <v>JKT-AW-E1029-2019</v>
      </c>
      <c r="B917" s="26">
        <v>43800</v>
      </c>
      <c r="C917" s="42">
        <v>2019</v>
      </c>
      <c r="D917" s="27" t="s">
        <v>640</v>
      </c>
      <c r="E917" s="27" t="s">
        <v>32</v>
      </c>
      <c r="F917" s="42" t="str" cm="1">
        <f t="array" ref="F917">_xlfn.IFS(E917="Bandung","BDG",E917="Surabaya","SBY",E917="Jakarta","JKT")</f>
        <v>JKT</v>
      </c>
      <c r="G917" s="27" t="s">
        <v>37</v>
      </c>
      <c r="H917" s="27" t="s">
        <v>148</v>
      </c>
      <c r="I917" s="27" t="s">
        <v>35</v>
      </c>
      <c r="J917" s="26">
        <v>43597</v>
      </c>
      <c r="K917" s="26">
        <v>43804</v>
      </c>
      <c r="L917" s="27">
        <f t="shared" si="86"/>
        <v>4</v>
      </c>
      <c r="M917" s="45">
        <v>33750</v>
      </c>
      <c r="N917" s="45">
        <v>55350</v>
      </c>
      <c r="O917" s="27">
        <v>57</v>
      </c>
      <c r="P917" s="46">
        <f t="shared" si="87"/>
        <v>0.3902439024390244</v>
      </c>
      <c r="Q917" s="27">
        <v>16</v>
      </c>
      <c r="R917" s="44">
        <f t="shared" si="84"/>
        <v>885600</v>
      </c>
      <c r="S917" s="29">
        <v>0.02</v>
      </c>
      <c r="T917" s="44">
        <f t="shared" si="88"/>
        <v>867888</v>
      </c>
      <c r="U917" s="44">
        <f t="shared" si="89"/>
        <v>327888</v>
      </c>
      <c r="V917" s="44"/>
    </row>
    <row r="918" spans="1:22" ht="14.5" x14ac:dyDescent="0.35">
      <c r="A918" s="47" t="str">
        <f t="shared" si="85"/>
        <v>JKT-AA-E1029-2017</v>
      </c>
      <c r="B918" s="26">
        <v>42895</v>
      </c>
      <c r="C918" s="42">
        <v>2017</v>
      </c>
      <c r="D918" s="27" t="s">
        <v>381</v>
      </c>
      <c r="E918" s="27" t="s">
        <v>32</v>
      </c>
      <c r="F918" s="42" t="str" cm="1">
        <f t="array" ref="F918">_xlfn.IFS(E918="Bandung","BDG",E918="Surabaya","SBY",E918="Jakarta","JKT")</f>
        <v>JKT</v>
      </c>
      <c r="G918" s="27" t="s">
        <v>37</v>
      </c>
      <c r="H918" s="27" t="s">
        <v>374</v>
      </c>
      <c r="I918" s="27" t="s">
        <v>39</v>
      </c>
      <c r="J918" s="26">
        <v>43014</v>
      </c>
      <c r="K918" s="26">
        <v>42896</v>
      </c>
      <c r="L918" s="27">
        <f t="shared" si="86"/>
        <v>1</v>
      </c>
      <c r="M918" s="45">
        <v>23550</v>
      </c>
      <c r="N918" s="45">
        <v>49200</v>
      </c>
      <c r="O918" s="27">
        <v>26</v>
      </c>
      <c r="P918" s="46">
        <f t="shared" si="87"/>
        <v>0.52134146341463417</v>
      </c>
      <c r="Q918" s="27">
        <v>26</v>
      </c>
      <c r="R918" s="44">
        <f t="shared" si="84"/>
        <v>1279200</v>
      </c>
      <c r="S918" s="29">
        <v>0.08</v>
      </c>
      <c r="T918" s="44">
        <f t="shared" si="88"/>
        <v>1176864</v>
      </c>
      <c r="U918" s="44">
        <f t="shared" si="89"/>
        <v>564564</v>
      </c>
      <c r="V918" s="44"/>
    </row>
    <row r="919" spans="1:22" ht="14.5" x14ac:dyDescent="0.35">
      <c r="A919" s="47" t="str">
        <f t="shared" si="85"/>
        <v>JKT-AA-E1029-2018</v>
      </c>
      <c r="B919" s="26">
        <v>43459</v>
      </c>
      <c r="C919" s="42">
        <v>2018</v>
      </c>
      <c r="D919" s="27" t="s">
        <v>381</v>
      </c>
      <c r="E919" s="27" t="s">
        <v>32</v>
      </c>
      <c r="F919" s="42" t="str" cm="1">
        <f t="array" ref="F919">_xlfn.IFS(E919="Bandung","BDG",E919="Surabaya","SBY",E919="Jakarta","JKT")</f>
        <v>JKT</v>
      </c>
      <c r="G919" s="27" t="s">
        <v>37</v>
      </c>
      <c r="H919" s="27" t="s">
        <v>414</v>
      </c>
      <c r="I919" s="27" t="s">
        <v>39</v>
      </c>
      <c r="J919" s="26">
        <v>43460</v>
      </c>
      <c r="K919" s="26">
        <v>43460</v>
      </c>
      <c r="L919" s="27">
        <f t="shared" si="86"/>
        <v>1</v>
      </c>
      <c r="M919" s="45">
        <v>13050</v>
      </c>
      <c r="N919" s="45">
        <v>27150</v>
      </c>
      <c r="O919" s="27">
        <v>56</v>
      </c>
      <c r="P919" s="46">
        <f t="shared" si="87"/>
        <v>0.51933701657458564</v>
      </c>
      <c r="Q919" s="27">
        <v>6</v>
      </c>
      <c r="R919" s="44">
        <f t="shared" si="84"/>
        <v>162900</v>
      </c>
      <c r="S919" s="29">
        <v>7.0000000000000007E-2</v>
      </c>
      <c r="T919" s="44">
        <f t="shared" si="88"/>
        <v>151497</v>
      </c>
      <c r="U919" s="44">
        <f t="shared" si="89"/>
        <v>73197</v>
      </c>
      <c r="V919" s="44"/>
    </row>
    <row r="920" spans="1:22" ht="14.5" x14ac:dyDescent="0.35">
      <c r="A920" s="47" t="str">
        <f t="shared" si="85"/>
        <v>JKT-AW-E1028-2017</v>
      </c>
      <c r="B920" s="26">
        <v>43079</v>
      </c>
      <c r="C920" s="42">
        <v>2017</v>
      </c>
      <c r="D920" s="27" t="s">
        <v>476</v>
      </c>
      <c r="E920" s="27" t="s">
        <v>32</v>
      </c>
      <c r="F920" s="42" t="str" cm="1">
        <f t="array" ref="F920">_xlfn.IFS(E920="Bandung","BDG",E920="Surabaya","SBY",E920="Jakarta","JKT")</f>
        <v>JKT</v>
      </c>
      <c r="G920" s="27" t="s">
        <v>33</v>
      </c>
      <c r="H920" s="27" t="s">
        <v>209</v>
      </c>
      <c r="I920" s="27" t="s">
        <v>46</v>
      </c>
      <c r="J920" s="26">
        <v>43079</v>
      </c>
      <c r="K920" s="26">
        <v>43020</v>
      </c>
      <c r="L920" s="27">
        <f t="shared" si="86"/>
        <v>-59</v>
      </c>
      <c r="M920" s="45">
        <v>4184850</v>
      </c>
      <c r="N920" s="45">
        <v>6749850</v>
      </c>
      <c r="O920" s="27">
        <v>60</v>
      </c>
      <c r="P920" s="46">
        <f t="shared" si="87"/>
        <v>0.38000844463210293</v>
      </c>
      <c r="Q920" s="27">
        <v>15</v>
      </c>
      <c r="R920" s="44">
        <f t="shared" si="84"/>
        <v>101247750</v>
      </c>
      <c r="S920" s="29">
        <v>0.04</v>
      </c>
      <c r="T920" s="44">
        <f t="shared" si="88"/>
        <v>97197840</v>
      </c>
      <c r="U920" s="44">
        <f t="shared" si="89"/>
        <v>34425090</v>
      </c>
      <c r="V920" s="44"/>
    </row>
    <row r="921" spans="1:22" ht="14.5" x14ac:dyDescent="0.35">
      <c r="A921" s="47" t="str">
        <f t="shared" si="85"/>
        <v>JKT-AW-E1028-2017</v>
      </c>
      <c r="B921" s="26">
        <v>43079</v>
      </c>
      <c r="C921" s="42">
        <v>2017</v>
      </c>
      <c r="D921" s="27" t="s">
        <v>476</v>
      </c>
      <c r="E921" s="27" t="s">
        <v>32</v>
      </c>
      <c r="F921" s="42" t="str" cm="1">
        <f t="array" ref="F921">_xlfn.IFS(E921="Bandung","BDG",E921="Surabaya","SBY",E921="Jakarta","JKT")</f>
        <v>JKT</v>
      </c>
      <c r="G921" s="27" t="s">
        <v>33</v>
      </c>
      <c r="H921" s="27" t="s">
        <v>92</v>
      </c>
      <c r="I921" s="27" t="s">
        <v>39</v>
      </c>
      <c r="J921" s="26">
        <v>43080</v>
      </c>
      <c r="K921" s="26">
        <v>43051</v>
      </c>
      <c r="L921" s="27">
        <f t="shared" si="86"/>
        <v>-28</v>
      </c>
      <c r="M921" s="45">
        <v>37800</v>
      </c>
      <c r="N921" s="45">
        <v>60000</v>
      </c>
      <c r="O921" s="27">
        <v>52</v>
      </c>
      <c r="P921" s="46">
        <f t="shared" si="87"/>
        <v>0.37</v>
      </c>
      <c r="Q921" s="27">
        <v>14</v>
      </c>
      <c r="R921" s="44">
        <f t="shared" si="84"/>
        <v>840000</v>
      </c>
      <c r="S921" s="29">
        <v>0.06</v>
      </c>
      <c r="T921" s="44">
        <f t="shared" si="88"/>
        <v>789600</v>
      </c>
      <c r="U921" s="44">
        <f t="shared" si="89"/>
        <v>260400</v>
      </c>
      <c r="V921" s="44"/>
    </row>
    <row r="922" spans="1:22" ht="14.5" x14ac:dyDescent="0.35">
      <c r="A922" s="47" t="str">
        <f t="shared" si="85"/>
        <v>SBY-AR-E1038-2018</v>
      </c>
      <c r="B922" s="26">
        <v>43200</v>
      </c>
      <c r="C922" s="42">
        <v>2018</v>
      </c>
      <c r="D922" s="27" t="s">
        <v>521</v>
      </c>
      <c r="E922" s="27" t="s">
        <v>41</v>
      </c>
      <c r="F922" s="42" t="str" cm="1">
        <f t="array" ref="F922">_xlfn.IFS(E922="Bandung","BDG",E922="Surabaya","SBY",E922="Jakarta","JKT")</f>
        <v>SBY</v>
      </c>
      <c r="G922" s="27" t="s">
        <v>98</v>
      </c>
      <c r="H922" s="27" t="s">
        <v>96</v>
      </c>
      <c r="I922" s="27" t="s">
        <v>35</v>
      </c>
      <c r="J922" s="26">
        <v>43201</v>
      </c>
      <c r="K922" s="26">
        <v>43408</v>
      </c>
      <c r="L922" s="27">
        <f t="shared" si="86"/>
        <v>208</v>
      </c>
      <c r="M922" s="45">
        <v>23850</v>
      </c>
      <c r="N922" s="45">
        <v>39150</v>
      </c>
      <c r="O922" s="27">
        <v>38</v>
      </c>
      <c r="P922" s="46">
        <f t="shared" si="87"/>
        <v>0.39080459770114945</v>
      </c>
      <c r="Q922" s="27">
        <v>37</v>
      </c>
      <c r="R922" s="44">
        <f t="shared" si="84"/>
        <v>1448550</v>
      </c>
      <c r="S922" s="29">
        <v>0.09</v>
      </c>
      <c r="T922" s="44">
        <f t="shared" si="88"/>
        <v>1318180.5</v>
      </c>
      <c r="U922" s="44">
        <f t="shared" si="89"/>
        <v>435730.5</v>
      </c>
      <c r="V922" s="44"/>
    </row>
    <row r="923" spans="1:22" ht="14.5" x14ac:dyDescent="0.35">
      <c r="A923" s="47" t="str">
        <f t="shared" si="85"/>
        <v>SBY-AR-E1038-2018</v>
      </c>
      <c r="B923" s="26">
        <v>43396</v>
      </c>
      <c r="C923" s="42">
        <v>2018</v>
      </c>
      <c r="D923" s="27" t="s">
        <v>521</v>
      </c>
      <c r="E923" s="27" t="s">
        <v>41</v>
      </c>
      <c r="F923" s="42" t="str" cm="1">
        <f t="array" ref="F923">_xlfn.IFS(E923="Bandung","BDG",E923="Surabaya","SBY",E923="Jakarta","JKT")</f>
        <v>SBY</v>
      </c>
      <c r="G923" s="27" t="s">
        <v>98</v>
      </c>
      <c r="H923" s="27" t="s">
        <v>507</v>
      </c>
      <c r="I923" s="27" t="s">
        <v>39</v>
      </c>
      <c r="J923" s="26" t="s">
        <v>1699</v>
      </c>
      <c r="K923" s="26">
        <v>43398</v>
      </c>
      <c r="L923" s="27">
        <f t="shared" si="86"/>
        <v>2</v>
      </c>
      <c r="M923" s="45">
        <v>14100</v>
      </c>
      <c r="N923" s="45">
        <v>28200</v>
      </c>
      <c r="O923" s="27">
        <v>22</v>
      </c>
      <c r="P923" s="46">
        <f t="shared" si="87"/>
        <v>0.5</v>
      </c>
      <c r="Q923" s="27">
        <v>22</v>
      </c>
      <c r="R923" s="44">
        <f t="shared" si="84"/>
        <v>620400</v>
      </c>
      <c r="S923" s="29">
        <v>7.0000000000000007E-2</v>
      </c>
      <c r="T923" s="44">
        <f t="shared" si="88"/>
        <v>576972</v>
      </c>
      <c r="U923" s="44">
        <f t="shared" si="89"/>
        <v>266772</v>
      </c>
      <c r="V923" s="44"/>
    </row>
    <row r="924" spans="1:22" ht="14.5" x14ac:dyDescent="0.35">
      <c r="A924" s="47" t="str">
        <f t="shared" si="85"/>
        <v>SBY-AR-E1038-2020</v>
      </c>
      <c r="B924" s="26">
        <v>43902</v>
      </c>
      <c r="C924" s="42">
        <v>2020</v>
      </c>
      <c r="D924" s="27" t="s">
        <v>521</v>
      </c>
      <c r="E924" s="27" t="s">
        <v>41</v>
      </c>
      <c r="F924" s="42" t="str" cm="1">
        <f t="array" ref="F924">_xlfn.IFS(E924="Bandung","BDG",E924="Surabaya","SBY",E924="Jakarta","JKT")</f>
        <v>SBY</v>
      </c>
      <c r="G924" s="27" t="s">
        <v>98</v>
      </c>
      <c r="H924" s="27" t="s">
        <v>221</v>
      </c>
      <c r="I924" s="27" t="s">
        <v>35</v>
      </c>
      <c r="J924" s="26">
        <v>43903</v>
      </c>
      <c r="K924" s="26">
        <v>43903</v>
      </c>
      <c r="L924" s="27">
        <f t="shared" si="86"/>
        <v>1</v>
      </c>
      <c r="M924" s="45">
        <v>29100</v>
      </c>
      <c r="N924" s="45">
        <v>46200</v>
      </c>
      <c r="O924" s="27">
        <v>40</v>
      </c>
      <c r="P924" s="46">
        <f t="shared" si="87"/>
        <v>0.37012987012987014</v>
      </c>
      <c r="Q924" s="27">
        <v>18</v>
      </c>
      <c r="R924" s="44">
        <f t="shared" si="84"/>
        <v>831600</v>
      </c>
      <c r="S924" s="29">
        <v>0.02</v>
      </c>
      <c r="T924" s="44">
        <f t="shared" si="88"/>
        <v>814968</v>
      </c>
      <c r="U924" s="44">
        <f t="shared" si="89"/>
        <v>291168</v>
      </c>
      <c r="V924" s="44"/>
    </row>
    <row r="925" spans="1:22" ht="14.5" x14ac:dyDescent="0.35">
      <c r="A925" s="47" t="str">
        <f t="shared" si="85"/>
        <v>SBY-AD-E1031-2016</v>
      </c>
      <c r="B925" s="26">
        <v>42614</v>
      </c>
      <c r="C925" s="42">
        <v>2016</v>
      </c>
      <c r="D925" s="27" t="s">
        <v>133</v>
      </c>
      <c r="E925" s="27" t="s">
        <v>41</v>
      </c>
      <c r="F925" s="42" t="str" cm="1">
        <f t="array" ref="F925">_xlfn.IFS(E925="Bandung","BDG",E925="Surabaya","SBY",E925="Jakarta","JKT")</f>
        <v>SBY</v>
      </c>
      <c r="G925" s="27" t="s">
        <v>48</v>
      </c>
      <c r="H925" s="27" t="s">
        <v>134</v>
      </c>
      <c r="I925" s="27" t="s">
        <v>35</v>
      </c>
      <c r="J925" s="26">
        <v>42616</v>
      </c>
      <c r="K925" s="26">
        <v>42438</v>
      </c>
      <c r="L925" s="27">
        <f t="shared" si="86"/>
        <v>-176</v>
      </c>
      <c r="M925" s="45">
        <v>204600</v>
      </c>
      <c r="N925" s="45">
        <v>314700</v>
      </c>
      <c r="O925" s="27">
        <v>47</v>
      </c>
      <c r="P925" s="46">
        <f t="shared" si="87"/>
        <v>0.34985700667302194</v>
      </c>
      <c r="Q925" s="27">
        <v>47</v>
      </c>
      <c r="R925" s="44">
        <f t="shared" si="84"/>
        <v>14790900</v>
      </c>
      <c r="S925" s="29">
        <v>0.1</v>
      </c>
      <c r="T925" s="44">
        <f t="shared" si="88"/>
        <v>13311810</v>
      </c>
      <c r="U925" s="44">
        <f t="shared" si="89"/>
        <v>3695610</v>
      </c>
      <c r="V925" s="44"/>
    </row>
    <row r="926" spans="1:22" ht="14.5" x14ac:dyDescent="0.35">
      <c r="A926" s="47" t="str">
        <f t="shared" si="85"/>
        <v>SBY-AD-E1031-2019</v>
      </c>
      <c r="B926" s="26">
        <v>43724</v>
      </c>
      <c r="C926" s="42">
        <v>2019</v>
      </c>
      <c r="D926" s="27" t="s">
        <v>133</v>
      </c>
      <c r="E926" s="27" t="s">
        <v>41</v>
      </c>
      <c r="F926" s="42" t="str" cm="1">
        <f t="array" ref="F926">_xlfn.IFS(E926="Bandung","BDG",E926="Surabaya","SBY",E926="Jakarta","JKT")</f>
        <v>SBY</v>
      </c>
      <c r="G926" s="27" t="s">
        <v>48</v>
      </c>
      <c r="H926" s="27" t="s">
        <v>221</v>
      </c>
      <c r="I926" s="27" t="s">
        <v>35</v>
      </c>
      <c r="J926" s="26" t="s">
        <v>1745</v>
      </c>
      <c r="K926" s="26">
        <v>43725</v>
      </c>
      <c r="L926" s="27">
        <f t="shared" si="86"/>
        <v>1</v>
      </c>
      <c r="M926" s="45">
        <v>29100</v>
      </c>
      <c r="N926" s="45">
        <v>46200</v>
      </c>
      <c r="O926" s="27">
        <v>22</v>
      </c>
      <c r="P926" s="46">
        <f t="shared" si="87"/>
        <v>0.37012987012987014</v>
      </c>
      <c r="Q926" s="27">
        <v>11</v>
      </c>
      <c r="R926" s="44">
        <f t="shared" si="84"/>
        <v>508200</v>
      </c>
      <c r="S926" s="29">
        <v>0.03</v>
      </c>
      <c r="T926" s="44">
        <f t="shared" si="88"/>
        <v>492954</v>
      </c>
      <c r="U926" s="44">
        <f t="shared" si="89"/>
        <v>172854</v>
      </c>
      <c r="V926" s="44"/>
    </row>
    <row r="927" spans="1:22" ht="14.5" x14ac:dyDescent="0.35">
      <c r="A927" s="47" t="str">
        <f t="shared" si="85"/>
        <v>SBY-AS-E1041-2016</v>
      </c>
      <c r="B927" s="26">
        <v>42632</v>
      </c>
      <c r="C927" s="42">
        <v>2016</v>
      </c>
      <c r="D927" s="27" t="s">
        <v>165</v>
      </c>
      <c r="E927" s="27" t="s">
        <v>41</v>
      </c>
      <c r="F927" s="42" t="str" cm="1">
        <f t="array" ref="F927">_xlfn.IFS(E927="Bandung","BDG",E927="Surabaya","SBY",E927="Jakarta","JKT")</f>
        <v>SBY</v>
      </c>
      <c r="G927" s="27" t="s">
        <v>166</v>
      </c>
      <c r="H927" s="27" t="s">
        <v>154</v>
      </c>
      <c r="I927" s="27" t="s">
        <v>35</v>
      </c>
      <c r="J927" s="26">
        <v>42633</v>
      </c>
      <c r="K927" s="26">
        <v>42633</v>
      </c>
      <c r="L927" s="27">
        <f t="shared" si="86"/>
        <v>1</v>
      </c>
      <c r="M927" s="45">
        <v>908850</v>
      </c>
      <c r="N927" s="45">
        <v>1514700</v>
      </c>
      <c r="O927" s="27">
        <v>29</v>
      </c>
      <c r="P927" s="46">
        <f t="shared" si="87"/>
        <v>0.39998019409784114</v>
      </c>
      <c r="Q927" s="27">
        <v>29</v>
      </c>
      <c r="R927" s="44">
        <f t="shared" si="84"/>
        <v>43926300</v>
      </c>
      <c r="S927" s="29">
        <v>0.03</v>
      </c>
      <c r="T927" s="44">
        <f t="shared" si="88"/>
        <v>42608511</v>
      </c>
      <c r="U927" s="44">
        <f t="shared" si="89"/>
        <v>16251861</v>
      </c>
      <c r="V927" s="44"/>
    </row>
    <row r="928" spans="1:22" ht="14.5" x14ac:dyDescent="0.35">
      <c r="A928" s="47" t="str">
        <f t="shared" si="85"/>
        <v>SBY-AS-E1041-2018</v>
      </c>
      <c r="B928" s="26">
        <v>43178</v>
      </c>
      <c r="C928" s="42">
        <v>2018</v>
      </c>
      <c r="D928" s="27" t="s">
        <v>165</v>
      </c>
      <c r="E928" s="27" t="s">
        <v>41</v>
      </c>
      <c r="F928" s="42" t="str" cm="1">
        <f t="array" ref="F928">_xlfn.IFS(E928="Bandung","BDG",E928="Surabaya","SBY",E928="Jakarta","JKT")</f>
        <v>SBY</v>
      </c>
      <c r="G928" s="27" t="s">
        <v>166</v>
      </c>
      <c r="H928" s="27" t="s">
        <v>148</v>
      </c>
      <c r="I928" s="27" t="s">
        <v>35</v>
      </c>
      <c r="J928" s="26">
        <v>43179</v>
      </c>
      <c r="K928" s="26">
        <v>43179</v>
      </c>
      <c r="L928" s="27">
        <f t="shared" si="86"/>
        <v>1</v>
      </c>
      <c r="M928" s="45">
        <v>33750</v>
      </c>
      <c r="N928" s="45">
        <v>55350</v>
      </c>
      <c r="O928" s="27">
        <v>41</v>
      </c>
      <c r="P928" s="46">
        <f t="shared" si="87"/>
        <v>0.3902439024390244</v>
      </c>
      <c r="Q928" s="27">
        <v>41</v>
      </c>
      <c r="R928" s="44">
        <f t="shared" si="84"/>
        <v>2269350</v>
      </c>
      <c r="S928" s="29">
        <v>0.08</v>
      </c>
      <c r="T928" s="44">
        <f t="shared" si="88"/>
        <v>2087802</v>
      </c>
      <c r="U928" s="44">
        <f t="shared" si="89"/>
        <v>704052</v>
      </c>
      <c r="V928" s="44"/>
    </row>
    <row r="929" spans="1:22" ht="14.5" x14ac:dyDescent="0.35">
      <c r="A929" s="47" t="str">
        <f t="shared" si="85"/>
        <v>JKT-AR-E1029-2017</v>
      </c>
      <c r="B929" s="26">
        <v>42936</v>
      </c>
      <c r="C929" s="42">
        <v>2017</v>
      </c>
      <c r="D929" s="27" t="s">
        <v>401</v>
      </c>
      <c r="E929" s="27" t="s">
        <v>32</v>
      </c>
      <c r="F929" s="42" t="str" cm="1">
        <f t="array" ref="F929">_xlfn.IFS(E929="Bandung","BDG",E929="Surabaya","SBY",E929="Jakarta","JKT")</f>
        <v>JKT</v>
      </c>
      <c r="G929" s="27" t="s">
        <v>37</v>
      </c>
      <c r="H929" s="27" t="s">
        <v>204</v>
      </c>
      <c r="I929" s="27" t="s">
        <v>39</v>
      </c>
      <c r="J929" s="26" t="s">
        <v>1617</v>
      </c>
      <c r="K929" s="26">
        <v>42936</v>
      </c>
      <c r="L929" s="27">
        <f t="shared" si="86"/>
        <v>0</v>
      </c>
      <c r="M929" s="45">
        <v>3600</v>
      </c>
      <c r="N929" s="45">
        <v>18900</v>
      </c>
      <c r="O929" s="27">
        <v>35</v>
      </c>
      <c r="P929" s="46">
        <f t="shared" si="87"/>
        <v>0.80952380952380953</v>
      </c>
      <c r="Q929" s="27">
        <v>35</v>
      </c>
      <c r="R929" s="44">
        <f t="shared" si="84"/>
        <v>661500</v>
      </c>
      <c r="S929" s="29">
        <v>0.09</v>
      </c>
      <c r="T929" s="44">
        <f t="shared" si="88"/>
        <v>601965</v>
      </c>
      <c r="U929" s="44">
        <f t="shared" si="89"/>
        <v>475965</v>
      </c>
      <c r="V929" s="44"/>
    </row>
    <row r="930" spans="1:22" ht="14.5" x14ac:dyDescent="0.35">
      <c r="A930" s="47" t="str">
        <f t="shared" si="85"/>
        <v>JKT-AR-E1029-2018</v>
      </c>
      <c r="B930" s="26">
        <v>43186</v>
      </c>
      <c r="C930" s="42">
        <v>2018</v>
      </c>
      <c r="D930" s="27" t="s">
        <v>401</v>
      </c>
      <c r="E930" s="27" t="s">
        <v>32</v>
      </c>
      <c r="F930" s="42" t="str" cm="1">
        <f t="array" ref="F930">_xlfn.IFS(E930="Bandung","BDG",E930="Surabaya","SBY",E930="Jakarta","JKT")</f>
        <v>JKT</v>
      </c>
      <c r="G930" s="27" t="s">
        <v>37</v>
      </c>
      <c r="H930" s="27" t="s">
        <v>76</v>
      </c>
      <c r="I930" s="27" t="s">
        <v>35</v>
      </c>
      <c r="J930" s="26">
        <v>43188</v>
      </c>
      <c r="K930" s="26">
        <v>43188</v>
      </c>
      <c r="L930" s="27">
        <f t="shared" si="86"/>
        <v>2</v>
      </c>
      <c r="M930" s="45">
        <v>68850</v>
      </c>
      <c r="N930" s="45">
        <v>109200</v>
      </c>
      <c r="O930" s="27">
        <v>36</v>
      </c>
      <c r="P930" s="46">
        <f t="shared" si="87"/>
        <v>0.36950549450549453</v>
      </c>
      <c r="Q930" s="27">
        <v>36</v>
      </c>
      <c r="R930" s="44">
        <f t="shared" si="84"/>
        <v>3931200</v>
      </c>
      <c r="S930" s="29">
        <v>0.05</v>
      </c>
      <c r="T930" s="44">
        <f t="shared" si="88"/>
        <v>3734640</v>
      </c>
      <c r="U930" s="44">
        <f t="shared" si="89"/>
        <v>1256040</v>
      </c>
      <c r="V930" s="44"/>
    </row>
    <row r="931" spans="1:22" ht="14.5" x14ac:dyDescent="0.35">
      <c r="A931" s="47" t="str">
        <f t="shared" si="85"/>
        <v>JKT-AR-E1029-2018</v>
      </c>
      <c r="B931" s="26">
        <v>43293</v>
      </c>
      <c r="C931" s="42">
        <v>2018</v>
      </c>
      <c r="D931" s="27" t="s">
        <v>401</v>
      </c>
      <c r="E931" s="27" t="s">
        <v>32</v>
      </c>
      <c r="F931" s="42" t="str" cm="1">
        <f t="array" ref="F931">_xlfn.IFS(E931="Bandung","BDG",E931="Surabaya","SBY",E931="Jakarta","JKT")</f>
        <v>JKT</v>
      </c>
      <c r="G931" s="27" t="s">
        <v>37</v>
      </c>
      <c r="H931" s="27" t="s">
        <v>206</v>
      </c>
      <c r="I931" s="27" t="s">
        <v>35</v>
      </c>
      <c r="J931" s="26" t="s">
        <v>1676</v>
      </c>
      <c r="K931" s="26">
        <v>43295</v>
      </c>
      <c r="L931" s="27">
        <f t="shared" si="86"/>
        <v>2</v>
      </c>
      <c r="M931" s="45">
        <v>817800</v>
      </c>
      <c r="N931" s="45">
        <v>1514550</v>
      </c>
      <c r="O931" s="27">
        <v>13</v>
      </c>
      <c r="P931" s="46">
        <f t="shared" si="87"/>
        <v>0.46003763494107158</v>
      </c>
      <c r="Q931" s="27">
        <v>13</v>
      </c>
      <c r="R931" s="44">
        <f t="shared" si="84"/>
        <v>19689150</v>
      </c>
      <c r="S931" s="29">
        <v>0.06</v>
      </c>
      <c r="T931" s="44">
        <f t="shared" si="88"/>
        <v>18507801</v>
      </c>
      <c r="U931" s="44">
        <f t="shared" si="89"/>
        <v>7876401</v>
      </c>
      <c r="V931" s="44"/>
    </row>
    <row r="932" spans="1:22" ht="14.5" x14ac:dyDescent="0.35">
      <c r="A932" s="47" t="str">
        <f t="shared" si="85"/>
        <v>JKT-AR-E1029-2018</v>
      </c>
      <c r="B932" s="26">
        <v>43344</v>
      </c>
      <c r="C932" s="42">
        <v>2018</v>
      </c>
      <c r="D932" s="27" t="s">
        <v>401</v>
      </c>
      <c r="E932" s="27" t="s">
        <v>32</v>
      </c>
      <c r="F932" s="42" t="str" cm="1">
        <f t="array" ref="F932">_xlfn.IFS(E932="Bandung","BDG",E932="Surabaya","SBY",E932="Jakarta","JKT")</f>
        <v>JKT</v>
      </c>
      <c r="G932" s="27" t="s">
        <v>37</v>
      </c>
      <c r="H932" s="27" t="s">
        <v>225</v>
      </c>
      <c r="I932" s="27" t="s">
        <v>35</v>
      </c>
      <c r="J932" s="26">
        <v>43199</v>
      </c>
      <c r="K932" s="26">
        <v>43347</v>
      </c>
      <c r="L932" s="27">
        <f t="shared" si="86"/>
        <v>3</v>
      </c>
      <c r="M932" s="45">
        <v>27600</v>
      </c>
      <c r="N932" s="45">
        <v>43200</v>
      </c>
      <c r="O932" s="27">
        <v>26</v>
      </c>
      <c r="P932" s="46">
        <f t="shared" si="87"/>
        <v>0.3611111111111111</v>
      </c>
      <c r="Q932" s="27">
        <v>26</v>
      </c>
      <c r="R932" s="44">
        <f t="shared" si="84"/>
        <v>1123200</v>
      </c>
      <c r="S932" s="29">
        <v>0.08</v>
      </c>
      <c r="T932" s="44">
        <f t="shared" si="88"/>
        <v>1033344</v>
      </c>
      <c r="U932" s="44">
        <f t="shared" si="89"/>
        <v>315744</v>
      </c>
      <c r="V932" s="44"/>
    </row>
    <row r="933" spans="1:22" ht="14.5" x14ac:dyDescent="0.35">
      <c r="A933" s="47" t="str">
        <f t="shared" si="85"/>
        <v>JKT-AR-E1029-2018</v>
      </c>
      <c r="B933" s="26">
        <v>43401</v>
      </c>
      <c r="C933" s="42">
        <v>2018</v>
      </c>
      <c r="D933" s="27" t="s">
        <v>401</v>
      </c>
      <c r="E933" s="27" t="s">
        <v>32</v>
      </c>
      <c r="F933" s="42" t="str" cm="1">
        <f t="array" ref="F933">_xlfn.IFS(E933="Bandung","BDG",E933="Surabaya","SBY",E933="Jakarta","JKT")</f>
        <v>JKT</v>
      </c>
      <c r="G933" s="27" t="s">
        <v>37</v>
      </c>
      <c r="H933" s="27" t="s">
        <v>455</v>
      </c>
      <c r="I933" s="27" t="s">
        <v>39</v>
      </c>
      <c r="J933" s="26">
        <v>43405</v>
      </c>
      <c r="K933" s="26">
        <v>43111</v>
      </c>
      <c r="L933" s="27">
        <f t="shared" si="86"/>
        <v>-290</v>
      </c>
      <c r="M933" s="45">
        <v>13800</v>
      </c>
      <c r="N933" s="45">
        <v>27150</v>
      </c>
      <c r="O933" s="27">
        <v>48</v>
      </c>
      <c r="P933" s="46">
        <f t="shared" si="87"/>
        <v>0.49171270718232046</v>
      </c>
      <c r="Q933" s="27">
        <v>48</v>
      </c>
      <c r="R933" s="44">
        <f t="shared" si="84"/>
        <v>1303200</v>
      </c>
      <c r="S933" s="29">
        <v>0.02</v>
      </c>
      <c r="T933" s="44">
        <f t="shared" si="88"/>
        <v>1277136</v>
      </c>
      <c r="U933" s="44">
        <f t="shared" si="89"/>
        <v>614736</v>
      </c>
      <c r="V933" s="44"/>
    </row>
    <row r="934" spans="1:22" ht="14.5" x14ac:dyDescent="0.35">
      <c r="A934" s="47" t="str">
        <f t="shared" si="85"/>
        <v>JKT-AR-E1029-2020</v>
      </c>
      <c r="B934" s="26">
        <v>43839</v>
      </c>
      <c r="C934" s="42">
        <v>2020</v>
      </c>
      <c r="D934" s="27" t="s">
        <v>401</v>
      </c>
      <c r="E934" s="27" t="s">
        <v>32</v>
      </c>
      <c r="F934" s="42" t="str" cm="1">
        <f t="array" ref="F934">_xlfn.IFS(E934="Bandung","BDG",E934="Surabaya","SBY",E934="Jakarta","JKT")</f>
        <v>JKT</v>
      </c>
      <c r="G934" s="27" t="s">
        <v>37</v>
      </c>
      <c r="H934" s="27" t="s">
        <v>391</v>
      </c>
      <c r="I934" s="27" t="s">
        <v>35</v>
      </c>
      <c r="J934" s="26" t="s">
        <v>1763</v>
      </c>
      <c r="K934" s="26">
        <v>43848</v>
      </c>
      <c r="L934" s="27">
        <f t="shared" si="86"/>
        <v>9</v>
      </c>
      <c r="M934" s="45">
        <v>329550</v>
      </c>
      <c r="N934" s="45">
        <v>531600</v>
      </c>
      <c r="O934" s="27">
        <v>44</v>
      </c>
      <c r="P934" s="46">
        <f t="shared" si="87"/>
        <v>0.38007900677200901</v>
      </c>
      <c r="Q934" s="27">
        <v>44</v>
      </c>
      <c r="R934" s="44">
        <f t="shared" si="84"/>
        <v>23390400</v>
      </c>
      <c r="S934" s="29">
        <v>0.01</v>
      </c>
      <c r="T934" s="44">
        <f t="shared" si="88"/>
        <v>23156496</v>
      </c>
      <c r="U934" s="44">
        <f t="shared" si="89"/>
        <v>8656296</v>
      </c>
      <c r="V934" s="44"/>
    </row>
    <row r="935" spans="1:22" ht="14.5" x14ac:dyDescent="0.35">
      <c r="A935" s="47" t="str">
        <f t="shared" si="85"/>
        <v>SBY-AM-E1034-2018</v>
      </c>
      <c r="B935" s="26">
        <v>43384</v>
      </c>
      <c r="C935" s="42">
        <v>2018</v>
      </c>
      <c r="D935" s="27" t="s">
        <v>601</v>
      </c>
      <c r="E935" s="27" t="s">
        <v>41</v>
      </c>
      <c r="F935" s="42" t="str" cm="1">
        <f t="array" ref="F935">_xlfn.IFS(E935="Bandung","BDG",E935="Surabaya","SBY",E935="Jakarta","JKT")</f>
        <v>SBY</v>
      </c>
      <c r="G935" s="27" t="s">
        <v>65</v>
      </c>
      <c r="H935" s="27" t="s">
        <v>440</v>
      </c>
      <c r="I935" s="27" t="s">
        <v>35</v>
      </c>
      <c r="J935" s="26" t="s">
        <v>1697</v>
      </c>
      <c r="K935" s="26">
        <v>43388</v>
      </c>
      <c r="L935" s="27">
        <f t="shared" si="86"/>
        <v>4</v>
      </c>
      <c r="M935" s="45">
        <v>27600</v>
      </c>
      <c r="N935" s="45">
        <v>43200</v>
      </c>
      <c r="O935" s="27">
        <v>73</v>
      </c>
      <c r="P935" s="46">
        <f t="shared" si="87"/>
        <v>0.3611111111111111</v>
      </c>
      <c r="Q935" s="27">
        <v>49</v>
      </c>
      <c r="R935" s="44">
        <f t="shared" si="84"/>
        <v>2116800</v>
      </c>
      <c r="S935" s="29">
        <v>0.01</v>
      </c>
      <c r="T935" s="44">
        <f t="shared" si="88"/>
        <v>2095632</v>
      </c>
      <c r="U935" s="44">
        <f t="shared" si="89"/>
        <v>743232</v>
      </c>
      <c r="V935" s="44"/>
    </row>
    <row r="936" spans="1:22" ht="14.5" x14ac:dyDescent="0.35">
      <c r="A936" s="47" t="str">
        <f t="shared" si="85"/>
        <v>SBY-AM-E1034-2019</v>
      </c>
      <c r="B936" s="26">
        <v>43778</v>
      </c>
      <c r="C936" s="42">
        <v>2019</v>
      </c>
      <c r="D936" s="27" t="s">
        <v>601</v>
      </c>
      <c r="E936" s="27" t="s">
        <v>41</v>
      </c>
      <c r="F936" s="42" t="str" cm="1">
        <f t="array" ref="F936">_xlfn.IFS(E936="Bandung","BDG",E936="Surabaya","SBY",E936="Jakarta","JKT")</f>
        <v>SBY</v>
      </c>
      <c r="G936" s="27" t="s">
        <v>65</v>
      </c>
      <c r="H936" s="27" t="s">
        <v>701</v>
      </c>
      <c r="I936" s="27" t="s">
        <v>236</v>
      </c>
      <c r="J936" s="26">
        <v>43780</v>
      </c>
      <c r="K936" s="26">
        <v>43780</v>
      </c>
      <c r="L936" s="27">
        <f t="shared" si="86"/>
        <v>2</v>
      </c>
      <c r="M936" s="45">
        <v>4049850</v>
      </c>
      <c r="N936" s="45">
        <v>6749850</v>
      </c>
      <c r="O936" s="27">
        <v>3</v>
      </c>
      <c r="P936" s="46">
        <f t="shared" si="87"/>
        <v>0.40000888908642412</v>
      </c>
      <c r="Q936" s="27">
        <v>3</v>
      </c>
      <c r="R936" s="44">
        <f t="shared" si="84"/>
        <v>20249550</v>
      </c>
      <c r="S936" s="29">
        <v>0.06</v>
      </c>
      <c r="T936" s="44">
        <f t="shared" si="88"/>
        <v>19034577</v>
      </c>
      <c r="U936" s="44">
        <f t="shared" si="89"/>
        <v>6885027</v>
      </c>
      <c r="V936" s="44"/>
    </row>
    <row r="937" spans="1:22" ht="14.5" x14ac:dyDescent="0.35">
      <c r="A937" s="47" t="str">
        <f t="shared" si="85"/>
        <v>SBY-AR-E1032-2018</v>
      </c>
      <c r="B937" s="26">
        <v>43182</v>
      </c>
      <c r="C937" s="42">
        <v>2018</v>
      </c>
      <c r="D937" s="27" t="s">
        <v>516</v>
      </c>
      <c r="E937" s="27" t="s">
        <v>41</v>
      </c>
      <c r="F937" s="42" t="str" cm="1">
        <f t="array" ref="F937">_xlfn.IFS(E937="Bandung","BDG",E937="Surabaya","SBY",E937="Jakarta","JKT")</f>
        <v>SBY</v>
      </c>
      <c r="G937" s="27" t="s">
        <v>53</v>
      </c>
      <c r="H937" s="27" t="s">
        <v>150</v>
      </c>
      <c r="I937" s="27" t="s">
        <v>35</v>
      </c>
      <c r="J937" s="26" t="s">
        <v>1657</v>
      </c>
      <c r="K937" s="26">
        <v>43184</v>
      </c>
      <c r="L937" s="27">
        <f t="shared" si="86"/>
        <v>2</v>
      </c>
      <c r="M937" s="45">
        <v>185850</v>
      </c>
      <c r="N937" s="45">
        <v>299700</v>
      </c>
      <c r="O937" s="27">
        <v>48</v>
      </c>
      <c r="P937" s="46">
        <f t="shared" si="87"/>
        <v>0.37987987987987987</v>
      </c>
      <c r="Q937" s="27">
        <v>48</v>
      </c>
      <c r="R937" s="44">
        <f t="shared" si="84"/>
        <v>14385600</v>
      </c>
      <c r="S937" s="29">
        <v>0.01</v>
      </c>
      <c r="T937" s="44">
        <f t="shared" si="88"/>
        <v>14241744</v>
      </c>
      <c r="U937" s="44">
        <f t="shared" si="89"/>
        <v>5320944</v>
      </c>
      <c r="V937" s="44"/>
    </row>
    <row r="938" spans="1:22" ht="14.5" x14ac:dyDescent="0.35">
      <c r="A938" s="47" t="str">
        <f t="shared" si="85"/>
        <v>SBY-AR-E1032-2018</v>
      </c>
      <c r="B938" s="26">
        <v>43244</v>
      </c>
      <c r="C938" s="42">
        <v>2018</v>
      </c>
      <c r="D938" s="27" t="s">
        <v>516</v>
      </c>
      <c r="E938" s="27" t="s">
        <v>41</v>
      </c>
      <c r="F938" s="42" t="str" cm="1">
        <f t="array" ref="F938">_xlfn.IFS(E938="Bandung","BDG",E938="Surabaya","SBY",E938="Jakarta","JKT")</f>
        <v>SBY</v>
      </c>
      <c r="G938" s="27" t="s">
        <v>53</v>
      </c>
      <c r="H938" s="27" t="s">
        <v>260</v>
      </c>
      <c r="I938" s="27" t="s">
        <v>39</v>
      </c>
      <c r="J938" s="26" t="s">
        <v>1668</v>
      </c>
      <c r="K938" s="26">
        <v>43251</v>
      </c>
      <c r="L938" s="27">
        <f t="shared" si="86"/>
        <v>7</v>
      </c>
      <c r="M938" s="45">
        <v>49800</v>
      </c>
      <c r="N938" s="45">
        <v>77700</v>
      </c>
      <c r="O938" s="27">
        <v>11</v>
      </c>
      <c r="P938" s="46">
        <f t="shared" si="87"/>
        <v>0.35907335907335908</v>
      </c>
      <c r="Q938" s="27">
        <v>11</v>
      </c>
      <c r="R938" s="44">
        <f t="shared" si="84"/>
        <v>854700</v>
      </c>
      <c r="S938" s="29">
        <v>0.06</v>
      </c>
      <c r="T938" s="44">
        <f t="shared" si="88"/>
        <v>803418</v>
      </c>
      <c r="U938" s="44">
        <f t="shared" si="89"/>
        <v>255618</v>
      </c>
      <c r="V938" s="44"/>
    </row>
    <row r="939" spans="1:22" ht="14.5" x14ac:dyDescent="0.35">
      <c r="A939" s="47" t="str">
        <f t="shared" si="85"/>
        <v>SBY-AR-E1032-2019</v>
      </c>
      <c r="B939" s="26">
        <v>43626</v>
      </c>
      <c r="C939" s="42">
        <v>2019</v>
      </c>
      <c r="D939" s="27" t="s">
        <v>516</v>
      </c>
      <c r="E939" s="27" t="s">
        <v>41</v>
      </c>
      <c r="F939" s="42" t="str" cm="1">
        <f t="array" ref="F939">_xlfn.IFS(E939="Bandung","BDG",E939="Surabaya","SBY",E939="Jakarta","JKT")</f>
        <v>SBY</v>
      </c>
      <c r="G939" s="27" t="s">
        <v>53</v>
      </c>
      <c r="H939" s="27" t="s">
        <v>212</v>
      </c>
      <c r="I939" s="27" t="s">
        <v>39</v>
      </c>
      <c r="J939" s="26">
        <v>43633</v>
      </c>
      <c r="K939" s="26">
        <v>43633</v>
      </c>
      <c r="L939" s="27">
        <f t="shared" si="86"/>
        <v>7</v>
      </c>
      <c r="M939" s="45">
        <v>44700</v>
      </c>
      <c r="N939" s="45">
        <v>87600</v>
      </c>
      <c r="O939" s="27">
        <v>19</v>
      </c>
      <c r="P939" s="46">
        <f t="shared" si="87"/>
        <v>0.48972602739726029</v>
      </c>
      <c r="Q939" s="27">
        <v>19</v>
      </c>
      <c r="R939" s="44">
        <f t="shared" si="84"/>
        <v>1664400</v>
      </c>
      <c r="S939" s="29">
        <v>0.01</v>
      </c>
      <c r="T939" s="44">
        <f t="shared" si="88"/>
        <v>1647756</v>
      </c>
      <c r="U939" s="44">
        <f t="shared" si="89"/>
        <v>798456</v>
      </c>
      <c r="V939" s="44"/>
    </row>
    <row r="940" spans="1:22" ht="14.5" x14ac:dyDescent="0.35">
      <c r="A940" s="47" t="str">
        <f t="shared" si="85"/>
        <v>SBY-AL-E1034-2018</v>
      </c>
      <c r="B940" s="26">
        <v>43415</v>
      </c>
      <c r="C940" s="42">
        <v>2018</v>
      </c>
      <c r="D940" s="27" t="s">
        <v>613</v>
      </c>
      <c r="E940" s="27" t="s">
        <v>41</v>
      </c>
      <c r="F940" s="42" t="str" cm="1">
        <f t="array" ref="F940">_xlfn.IFS(E940="Bandung","BDG",E940="Surabaya","SBY",E940="Jakarta","JKT")</f>
        <v>SBY</v>
      </c>
      <c r="G940" s="27" t="s">
        <v>65</v>
      </c>
      <c r="H940" s="27" t="s">
        <v>303</v>
      </c>
      <c r="I940" s="27" t="s">
        <v>35</v>
      </c>
      <c r="J940" s="26">
        <v>43445</v>
      </c>
      <c r="K940" s="26">
        <v>43416</v>
      </c>
      <c r="L940" s="27">
        <f t="shared" si="86"/>
        <v>1</v>
      </c>
      <c r="M940" s="45">
        <v>34350</v>
      </c>
      <c r="N940" s="45">
        <v>55350</v>
      </c>
      <c r="O940" s="27">
        <v>117</v>
      </c>
      <c r="P940" s="46">
        <f t="shared" si="87"/>
        <v>0.37940379403794039</v>
      </c>
      <c r="Q940" s="27">
        <v>48</v>
      </c>
      <c r="R940" s="44">
        <f t="shared" si="84"/>
        <v>2656800</v>
      </c>
      <c r="S940" s="29">
        <v>0.1</v>
      </c>
      <c r="T940" s="44">
        <f t="shared" si="88"/>
        <v>2391120</v>
      </c>
      <c r="U940" s="44">
        <f t="shared" si="89"/>
        <v>742320</v>
      </c>
      <c r="V940" s="44"/>
    </row>
    <row r="941" spans="1:22" ht="14.5" x14ac:dyDescent="0.35">
      <c r="A941" s="47" t="str">
        <f t="shared" si="85"/>
        <v>SBY-AL-E1034-2019</v>
      </c>
      <c r="B941" s="26">
        <v>43528</v>
      </c>
      <c r="C941" s="42">
        <v>2019</v>
      </c>
      <c r="D941" s="27" t="s">
        <v>613</v>
      </c>
      <c r="E941" s="27" t="s">
        <v>41</v>
      </c>
      <c r="F941" s="42" t="str" cm="1">
        <f t="array" ref="F941">_xlfn.IFS(E941="Bandung","BDG",E941="Surabaya","SBY",E941="Jakarta","JKT")</f>
        <v>SBY</v>
      </c>
      <c r="G941" s="27" t="s">
        <v>65</v>
      </c>
      <c r="H941" s="27" t="s">
        <v>221</v>
      </c>
      <c r="I941" s="27" t="s">
        <v>35</v>
      </c>
      <c r="J941" s="26">
        <v>43530</v>
      </c>
      <c r="K941" s="26">
        <v>43619</v>
      </c>
      <c r="L941" s="27">
        <f t="shared" si="86"/>
        <v>91</v>
      </c>
      <c r="M941" s="45">
        <v>29100</v>
      </c>
      <c r="N941" s="45">
        <v>46200</v>
      </c>
      <c r="O941" s="27">
        <v>11</v>
      </c>
      <c r="P941" s="46">
        <f t="shared" si="87"/>
        <v>0.37012987012987014</v>
      </c>
      <c r="Q941" s="27">
        <v>11</v>
      </c>
      <c r="R941" s="44">
        <f t="shared" si="84"/>
        <v>508200</v>
      </c>
      <c r="S941" s="29">
        <v>0.09</v>
      </c>
      <c r="T941" s="44">
        <f t="shared" si="88"/>
        <v>462462</v>
      </c>
      <c r="U941" s="44">
        <f t="shared" si="89"/>
        <v>142362</v>
      </c>
      <c r="V941" s="44"/>
    </row>
    <row r="942" spans="1:22" ht="14.5" x14ac:dyDescent="0.35">
      <c r="A942" s="47" t="str">
        <f t="shared" si="85"/>
        <v>SBY-AL-E1034-2019</v>
      </c>
      <c r="B942" s="26">
        <v>43809</v>
      </c>
      <c r="C942" s="42">
        <v>2019</v>
      </c>
      <c r="D942" s="27" t="s">
        <v>613</v>
      </c>
      <c r="E942" s="27" t="s">
        <v>41</v>
      </c>
      <c r="F942" s="42" t="str" cm="1">
        <f t="array" ref="F942">_xlfn.IFS(E942="Bandung","BDG",E942="Surabaya","SBY",E942="Jakarta","JKT")</f>
        <v>SBY</v>
      </c>
      <c r="G942" s="27" t="s">
        <v>65</v>
      </c>
      <c r="H942" s="27" t="s">
        <v>251</v>
      </c>
      <c r="I942" s="27" t="s">
        <v>73</v>
      </c>
      <c r="J942" s="26">
        <v>43810</v>
      </c>
      <c r="K942" s="26">
        <v>43781</v>
      </c>
      <c r="L942" s="27">
        <f t="shared" si="86"/>
        <v>-28</v>
      </c>
      <c r="M942" s="45">
        <v>77850</v>
      </c>
      <c r="N942" s="45">
        <v>194700</v>
      </c>
      <c r="O942" s="27">
        <v>53</v>
      </c>
      <c r="P942" s="46">
        <f t="shared" si="87"/>
        <v>0.60015408320493069</v>
      </c>
      <c r="Q942" s="27">
        <v>42</v>
      </c>
      <c r="R942" s="44">
        <f t="shared" si="84"/>
        <v>8177400</v>
      </c>
      <c r="S942" s="29">
        <v>0.05</v>
      </c>
      <c r="T942" s="44">
        <f t="shared" si="88"/>
        <v>7768530</v>
      </c>
      <c r="U942" s="44">
        <f t="shared" si="89"/>
        <v>4498830</v>
      </c>
      <c r="V942" s="44"/>
    </row>
    <row r="943" spans="1:22" ht="14.5" x14ac:dyDescent="0.35">
      <c r="A943" s="47" t="str">
        <f t="shared" si="85"/>
        <v>SBY-AH-E1037-2017</v>
      </c>
      <c r="B943" s="26">
        <v>43085</v>
      </c>
      <c r="C943" s="42">
        <v>2017</v>
      </c>
      <c r="D943" s="27" t="s">
        <v>477</v>
      </c>
      <c r="E943" s="27" t="s">
        <v>41</v>
      </c>
      <c r="F943" s="42" t="str" cm="1">
        <f t="array" ref="F943">_xlfn.IFS(E943="Bandung","BDG",E943="Surabaya","SBY",E943="Jakarta","JKT")</f>
        <v>SBY</v>
      </c>
      <c r="G943" s="27" t="s">
        <v>83</v>
      </c>
      <c r="H943" s="27" t="s">
        <v>331</v>
      </c>
      <c r="I943" s="27" t="s">
        <v>39</v>
      </c>
      <c r="J943" s="26">
        <v>43087</v>
      </c>
      <c r="K943" s="26">
        <v>43087</v>
      </c>
      <c r="L943" s="27">
        <f t="shared" si="86"/>
        <v>2</v>
      </c>
      <c r="M943" s="45">
        <v>28800</v>
      </c>
      <c r="N943" s="45">
        <v>48900</v>
      </c>
      <c r="O943" s="27">
        <v>31</v>
      </c>
      <c r="P943" s="46">
        <f t="shared" si="87"/>
        <v>0.41104294478527609</v>
      </c>
      <c r="Q943" s="27">
        <v>31</v>
      </c>
      <c r="R943" s="44">
        <f t="shared" si="84"/>
        <v>1515900</v>
      </c>
      <c r="S943" s="29">
        <v>0</v>
      </c>
      <c r="T943" s="44">
        <f t="shared" si="88"/>
        <v>1515900</v>
      </c>
      <c r="U943" s="44">
        <f t="shared" si="89"/>
        <v>623100</v>
      </c>
      <c r="V943" s="44"/>
    </row>
    <row r="944" spans="1:22" ht="14.5" x14ac:dyDescent="0.35">
      <c r="A944" s="47" t="str">
        <f t="shared" si="85"/>
        <v>SBY-AH-E1037-2020</v>
      </c>
      <c r="B944" s="26">
        <v>43859</v>
      </c>
      <c r="C944" s="42">
        <v>2020</v>
      </c>
      <c r="D944" s="27" t="s">
        <v>477</v>
      </c>
      <c r="E944" s="27" t="s">
        <v>41</v>
      </c>
      <c r="F944" s="42" t="str" cm="1">
        <f t="array" ref="F944">_xlfn.IFS(E944="Bandung","BDG",E944="Surabaya","SBY",E944="Jakarta","JKT")</f>
        <v>SBY</v>
      </c>
      <c r="G944" s="27" t="s">
        <v>83</v>
      </c>
      <c r="H944" s="27" t="s">
        <v>51</v>
      </c>
      <c r="I944" s="27" t="s">
        <v>39</v>
      </c>
      <c r="J944" s="26">
        <v>43861</v>
      </c>
      <c r="K944" s="26">
        <v>43861</v>
      </c>
      <c r="L944" s="27">
        <f t="shared" si="86"/>
        <v>2</v>
      </c>
      <c r="M944" s="45">
        <v>16350.000000000002</v>
      </c>
      <c r="N944" s="45">
        <v>39000</v>
      </c>
      <c r="O944" s="27">
        <v>12</v>
      </c>
      <c r="P944" s="46">
        <f t="shared" si="87"/>
        <v>0.58076923076923082</v>
      </c>
      <c r="Q944" s="27">
        <v>12</v>
      </c>
      <c r="R944" s="44">
        <f t="shared" si="84"/>
        <v>468000</v>
      </c>
      <c r="S944" s="29">
        <v>0.05</v>
      </c>
      <c r="T944" s="44">
        <f t="shared" si="88"/>
        <v>444600</v>
      </c>
      <c r="U944" s="44">
        <f t="shared" si="89"/>
        <v>248399.99999999997</v>
      </c>
      <c r="V944" s="44"/>
    </row>
    <row r="945" spans="1:22" ht="14.5" x14ac:dyDescent="0.35">
      <c r="A945" s="47" t="str">
        <f t="shared" si="85"/>
        <v>SBY-AW-E1034-2018</v>
      </c>
      <c r="B945" s="26">
        <v>43127</v>
      </c>
      <c r="C945" s="42">
        <v>2018</v>
      </c>
      <c r="D945" s="27" t="s">
        <v>492</v>
      </c>
      <c r="E945" s="27" t="s">
        <v>41</v>
      </c>
      <c r="F945" s="42" t="str" cm="1">
        <f t="array" ref="F945">_xlfn.IFS(E945="Bandung","BDG",E945="Surabaya","SBY",E945="Jakarta","JKT")</f>
        <v>SBY</v>
      </c>
      <c r="G945" s="27" t="s">
        <v>65</v>
      </c>
      <c r="H945" s="27" t="s">
        <v>368</v>
      </c>
      <c r="I945" s="27" t="s">
        <v>35</v>
      </c>
      <c r="J945" s="26">
        <v>43131</v>
      </c>
      <c r="K945" s="26">
        <v>43131</v>
      </c>
      <c r="L945" s="27">
        <f t="shared" si="86"/>
        <v>4</v>
      </c>
      <c r="M945" s="45">
        <v>781050</v>
      </c>
      <c r="N945" s="45">
        <v>1259700</v>
      </c>
      <c r="O945" s="27">
        <v>34</v>
      </c>
      <c r="P945" s="46">
        <f t="shared" si="87"/>
        <v>0.37997142176708743</v>
      </c>
      <c r="Q945" s="27">
        <v>34</v>
      </c>
      <c r="R945" s="44">
        <f t="shared" si="84"/>
        <v>42829800</v>
      </c>
      <c r="S945" s="29">
        <v>0.06</v>
      </c>
      <c r="T945" s="44">
        <f t="shared" si="88"/>
        <v>40260012</v>
      </c>
      <c r="U945" s="44">
        <f t="shared" si="89"/>
        <v>13704312</v>
      </c>
      <c r="V945" s="44"/>
    </row>
    <row r="946" spans="1:22" ht="14.5" x14ac:dyDescent="0.35">
      <c r="A946" s="47" t="str">
        <f t="shared" si="85"/>
        <v>SBY-AW-E1034-2019</v>
      </c>
      <c r="B946" s="26">
        <v>43734</v>
      </c>
      <c r="C946" s="42">
        <v>2019</v>
      </c>
      <c r="D946" s="27" t="s">
        <v>492</v>
      </c>
      <c r="E946" s="27" t="s">
        <v>41</v>
      </c>
      <c r="F946" s="42" t="str" cm="1">
        <f t="array" ref="F946">_xlfn.IFS(E946="Bandung","BDG",E946="Surabaya","SBY",E946="Jakarta","JKT")</f>
        <v>SBY</v>
      </c>
      <c r="G946" s="27" t="s">
        <v>65</v>
      </c>
      <c r="H946" s="27" t="s">
        <v>101</v>
      </c>
      <c r="I946" s="27" t="s">
        <v>35</v>
      </c>
      <c r="J946" s="26" t="s">
        <v>1748</v>
      </c>
      <c r="K946" s="26">
        <v>43736</v>
      </c>
      <c r="L946" s="27">
        <f t="shared" si="86"/>
        <v>2</v>
      </c>
      <c r="M946" s="45">
        <v>480300.00000000006</v>
      </c>
      <c r="N946" s="45">
        <v>2287200</v>
      </c>
      <c r="O946" s="27">
        <v>74</v>
      </c>
      <c r="P946" s="46">
        <f t="shared" si="87"/>
        <v>0.79000524658971671</v>
      </c>
      <c r="Q946" s="27">
        <v>12</v>
      </c>
      <c r="R946" s="44">
        <f t="shared" si="84"/>
        <v>27446400</v>
      </c>
      <c r="S946" s="29">
        <v>0.1</v>
      </c>
      <c r="T946" s="44">
        <f t="shared" si="88"/>
        <v>24701760</v>
      </c>
      <c r="U946" s="44">
        <f t="shared" si="89"/>
        <v>18938160</v>
      </c>
      <c r="V946" s="44"/>
    </row>
    <row r="947" spans="1:22" ht="14.5" x14ac:dyDescent="0.35">
      <c r="A947" s="47" t="str">
        <f t="shared" si="85"/>
        <v>SBY-AA-E1031-2016</v>
      </c>
      <c r="B947" s="26">
        <v>42563</v>
      </c>
      <c r="C947" s="42">
        <v>2016</v>
      </c>
      <c r="D947" s="27" t="s">
        <v>88</v>
      </c>
      <c r="E947" s="27" t="s">
        <v>41</v>
      </c>
      <c r="F947" s="42" t="str" cm="1">
        <f t="array" ref="F947">_xlfn.IFS(E947="Bandung","BDG",E947="Surabaya","SBY",E947="Jakarta","JKT")</f>
        <v>SBY</v>
      </c>
      <c r="G947" s="27" t="s">
        <v>48</v>
      </c>
      <c r="H947" s="27" t="s">
        <v>89</v>
      </c>
      <c r="I947" s="27" t="s">
        <v>73</v>
      </c>
      <c r="J947" s="26" t="s">
        <v>1558</v>
      </c>
      <c r="K947" s="26">
        <v>42564</v>
      </c>
      <c r="L947" s="27">
        <f t="shared" si="86"/>
        <v>1</v>
      </c>
      <c r="M947" s="45">
        <v>14100</v>
      </c>
      <c r="N947" s="45">
        <v>31200</v>
      </c>
      <c r="O947" s="27">
        <v>4</v>
      </c>
      <c r="P947" s="46">
        <f t="shared" si="87"/>
        <v>0.54807692307692313</v>
      </c>
      <c r="Q947" s="27">
        <v>4</v>
      </c>
      <c r="R947" s="44">
        <f t="shared" si="84"/>
        <v>124800</v>
      </c>
      <c r="S947" s="29">
        <v>0.02</v>
      </c>
      <c r="T947" s="44">
        <f t="shared" si="88"/>
        <v>122304</v>
      </c>
      <c r="U947" s="44">
        <f t="shared" si="89"/>
        <v>65904</v>
      </c>
      <c r="V947" s="44"/>
    </row>
    <row r="948" spans="1:22" ht="14.5" x14ac:dyDescent="0.35">
      <c r="A948" s="47" t="str">
        <f t="shared" si="85"/>
        <v>SBY-AA-E1031-2016</v>
      </c>
      <c r="B948" s="26">
        <v>42700</v>
      </c>
      <c r="C948" s="42">
        <v>2016</v>
      </c>
      <c r="D948" s="27" t="s">
        <v>88</v>
      </c>
      <c r="E948" s="27" t="s">
        <v>41</v>
      </c>
      <c r="F948" s="42" t="str" cm="1">
        <f t="array" ref="F948">_xlfn.IFS(E948="Bandung","BDG",E948="Surabaya","SBY",E948="Jakarta","JKT")</f>
        <v>SBY</v>
      </c>
      <c r="G948" s="27" t="s">
        <v>48</v>
      </c>
      <c r="H948" s="27" t="s">
        <v>244</v>
      </c>
      <c r="I948" s="27" t="s">
        <v>35</v>
      </c>
      <c r="J948" s="26">
        <v>42709</v>
      </c>
      <c r="K948" s="26">
        <v>42502</v>
      </c>
      <c r="L948" s="27">
        <f t="shared" si="86"/>
        <v>-198</v>
      </c>
      <c r="M948" s="45">
        <v>32700.000000000004</v>
      </c>
      <c r="N948" s="45">
        <v>52800</v>
      </c>
      <c r="O948" s="27">
        <v>12</v>
      </c>
      <c r="P948" s="46">
        <f t="shared" si="87"/>
        <v>0.38068181818181812</v>
      </c>
      <c r="Q948" s="27">
        <v>12</v>
      </c>
      <c r="R948" s="44">
        <f t="shared" si="84"/>
        <v>633600</v>
      </c>
      <c r="S948" s="29">
        <v>0.04</v>
      </c>
      <c r="T948" s="44">
        <f t="shared" si="88"/>
        <v>608256</v>
      </c>
      <c r="U948" s="44">
        <f t="shared" si="89"/>
        <v>215855.99999999994</v>
      </c>
      <c r="V948" s="44"/>
    </row>
    <row r="949" spans="1:22" ht="14.5" x14ac:dyDescent="0.35">
      <c r="A949" s="47" t="str">
        <f t="shared" si="85"/>
        <v>JKT-AP-E1029-2018</v>
      </c>
      <c r="B949" s="26">
        <v>43129</v>
      </c>
      <c r="C949" s="42">
        <v>2018</v>
      </c>
      <c r="D949" s="27" t="s">
        <v>493</v>
      </c>
      <c r="E949" s="27" t="s">
        <v>32</v>
      </c>
      <c r="F949" s="42" t="str" cm="1">
        <f t="array" ref="F949">_xlfn.IFS(E949="Bandung","BDG",E949="Surabaya","SBY",E949="Jakarta","JKT")</f>
        <v>JKT</v>
      </c>
      <c r="G949" s="27" t="s">
        <v>37</v>
      </c>
      <c r="H949" s="27" t="s">
        <v>251</v>
      </c>
      <c r="I949" s="27" t="s">
        <v>73</v>
      </c>
      <c r="J949" s="26">
        <v>43129</v>
      </c>
      <c r="K949" s="26">
        <v>43129</v>
      </c>
      <c r="L949" s="27">
        <f t="shared" si="86"/>
        <v>0</v>
      </c>
      <c r="M949" s="45">
        <v>77850</v>
      </c>
      <c r="N949" s="45">
        <v>194700</v>
      </c>
      <c r="O949" s="27">
        <v>11</v>
      </c>
      <c r="P949" s="46">
        <f t="shared" si="87"/>
        <v>0.60015408320493069</v>
      </c>
      <c r="Q949" s="27">
        <v>11</v>
      </c>
      <c r="R949" s="44">
        <f t="shared" si="84"/>
        <v>2141700</v>
      </c>
      <c r="S949" s="29">
        <v>0.08</v>
      </c>
      <c r="T949" s="44">
        <f t="shared" si="88"/>
        <v>1970364</v>
      </c>
      <c r="U949" s="44">
        <f t="shared" si="89"/>
        <v>1114014</v>
      </c>
      <c r="V949" s="44"/>
    </row>
    <row r="950" spans="1:22" ht="14.5" x14ac:dyDescent="0.35">
      <c r="A950" s="47" t="str">
        <f t="shared" si="85"/>
        <v>JKT-AP-E1029-2018</v>
      </c>
      <c r="B950" s="26">
        <v>43129</v>
      </c>
      <c r="C950" s="42">
        <v>2018</v>
      </c>
      <c r="D950" s="27" t="s">
        <v>493</v>
      </c>
      <c r="E950" s="27" t="s">
        <v>32</v>
      </c>
      <c r="F950" s="42" t="str" cm="1">
        <f t="array" ref="F950">_xlfn.IFS(E950="Bandung","BDG",E950="Surabaya","SBY",E950="Jakarta","JKT")</f>
        <v>JKT</v>
      </c>
      <c r="G950" s="27" t="s">
        <v>37</v>
      </c>
      <c r="H950" s="27" t="s">
        <v>92</v>
      </c>
      <c r="I950" s="27" t="s">
        <v>39</v>
      </c>
      <c r="J950" s="26" t="s">
        <v>1653</v>
      </c>
      <c r="K950" s="26">
        <v>43131</v>
      </c>
      <c r="L950" s="27">
        <f t="shared" si="86"/>
        <v>2</v>
      </c>
      <c r="M950" s="45">
        <v>37800</v>
      </c>
      <c r="N950" s="45">
        <v>60000</v>
      </c>
      <c r="O950" s="27">
        <v>38</v>
      </c>
      <c r="P950" s="46">
        <f t="shared" si="87"/>
        <v>0.37</v>
      </c>
      <c r="Q950" s="27">
        <v>19</v>
      </c>
      <c r="R950" s="44">
        <f t="shared" si="84"/>
        <v>1140000</v>
      </c>
      <c r="S950" s="29">
        <v>0.01</v>
      </c>
      <c r="T950" s="44">
        <f t="shared" si="88"/>
        <v>1128600</v>
      </c>
      <c r="U950" s="44">
        <f t="shared" si="89"/>
        <v>410400</v>
      </c>
      <c r="V950" s="44"/>
    </row>
    <row r="951" spans="1:22" ht="14.5" x14ac:dyDescent="0.35">
      <c r="A951" s="47" t="str">
        <f t="shared" si="85"/>
        <v>SBY-AF-E1030-2017</v>
      </c>
      <c r="B951" s="26">
        <v>42853</v>
      </c>
      <c r="C951" s="42">
        <v>2017</v>
      </c>
      <c r="D951" s="27" t="s">
        <v>347</v>
      </c>
      <c r="E951" s="27" t="s">
        <v>41</v>
      </c>
      <c r="F951" s="42" t="str" cm="1">
        <f t="array" ref="F951">_xlfn.IFS(E951="Bandung","BDG",E951="Surabaya","SBY",E951="Jakarta","JKT")</f>
        <v>SBY</v>
      </c>
      <c r="G951" s="27" t="s">
        <v>42</v>
      </c>
      <c r="H951" s="27" t="s">
        <v>180</v>
      </c>
      <c r="I951" s="27" t="s">
        <v>35</v>
      </c>
      <c r="J951" s="26" t="s">
        <v>1606</v>
      </c>
      <c r="K951" s="26">
        <v>42855</v>
      </c>
      <c r="L951" s="27">
        <f t="shared" si="86"/>
        <v>2</v>
      </c>
      <c r="M951" s="45">
        <v>51000</v>
      </c>
      <c r="N951" s="45">
        <v>81000</v>
      </c>
      <c r="O951" s="27">
        <v>52</v>
      </c>
      <c r="P951" s="46">
        <f t="shared" si="87"/>
        <v>0.37037037037037035</v>
      </c>
      <c r="Q951" s="27">
        <v>14</v>
      </c>
      <c r="R951" s="44">
        <f t="shared" si="84"/>
        <v>1134000</v>
      </c>
      <c r="S951" s="29">
        <v>0.09</v>
      </c>
      <c r="T951" s="44">
        <f t="shared" si="88"/>
        <v>1031940</v>
      </c>
      <c r="U951" s="44">
        <f t="shared" si="89"/>
        <v>317940</v>
      </c>
      <c r="V951" s="44"/>
    </row>
    <row r="952" spans="1:22" ht="14.5" x14ac:dyDescent="0.35">
      <c r="A952" s="47" t="str">
        <f t="shared" si="85"/>
        <v>SBY-AJ-E1030-2017</v>
      </c>
      <c r="B952" s="26">
        <v>42767</v>
      </c>
      <c r="C952" s="42">
        <v>2017</v>
      </c>
      <c r="D952" s="27" t="s">
        <v>289</v>
      </c>
      <c r="E952" s="27" t="s">
        <v>41</v>
      </c>
      <c r="F952" s="42" t="str" cm="1">
        <f t="array" ref="F952">_xlfn.IFS(E952="Bandung","BDG",E952="Surabaya","SBY",E952="Jakarta","JKT")</f>
        <v>SBY</v>
      </c>
      <c r="G952" s="27" t="s">
        <v>42</v>
      </c>
      <c r="H952" s="27" t="s">
        <v>96</v>
      </c>
      <c r="I952" s="27" t="s">
        <v>35</v>
      </c>
      <c r="J952" s="26">
        <v>42767</v>
      </c>
      <c r="K952" s="26">
        <v>42737</v>
      </c>
      <c r="L952" s="27">
        <f t="shared" si="86"/>
        <v>-30</v>
      </c>
      <c r="M952" s="45">
        <v>23850</v>
      </c>
      <c r="N952" s="45">
        <v>39150</v>
      </c>
      <c r="O952" s="27">
        <v>1</v>
      </c>
      <c r="P952" s="46">
        <f t="shared" si="87"/>
        <v>0.39080459770114945</v>
      </c>
      <c r="Q952" s="27">
        <v>1</v>
      </c>
      <c r="R952" s="44">
        <f t="shared" si="84"/>
        <v>39150</v>
      </c>
      <c r="S952" s="29">
        <v>0.06</v>
      </c>
      <c r="T952" s="44">
        <f t="shared" si="88"/>
        <v>36801</v>
      </c>
      <c r="U952" s="44">
        <f t="shared" si="89"/>
        <v>12951</v>
      </c>
      <c r="V952" s="44"/>
    </row>
    <row r="953" spans="1:22" ht="14.5" x14ac:dyDescent="0.35">
      <c r="A953" s="47" t="str">
        <f t="shared" si="85"/>
        <v>SBY-AJ-E1030-2017</v>
      </c>
      <c r="B953" s="26">
        <v>42798</v>
      </c>
      <c r="C953" s="42">
        <v>2017</v>
      </c>
      <c r="D953" s="27" t="s">
        <v>289</v>
      </c>
      <c r="E953" s="27" t="s">
        <v>41</v>
      </c>
      <c r="F953" s="42" t="str" cm="1">
        <f t="array" ref="F953">_xlfn.IFS(E953="Bandung","BDG",E953="Surabaya","SBY",E953="Jakarta","JKT")</f>
        <v>SBY</v>
      </c>
      <c r="G953" s="27" t="s">
        <v>42</v>
      </c>
      <c r="H953" s="27" t="s">
        <v>223</v>
      </c>
      <c r="I953" s="27" t="s">
        <v>46</v>
      </c>
      <c r="J953" s="26">
        <v>43042</v>
      </c>
      <c r="K953" s="26">
        <v>42805</v>
      </c>
      <c r="L953" s="27">
        <f t="shared" si="86"/>
        <v>7</v>
      </c>
      <c r="M953" s="45">
        <v>1151850</v>
      </c>
      <c r="N953" s="45">
        <v>1799850</v>
      </c>
      <c r="O953" s="27">
        <v>28</v>
      </c>
      <c r="P953" s="46">
        <f t="shared" si="87"/>
        <v>0.36003000250020833</v>
      </c>
      <c r="Q953" s="27">
        <v>4</v>
      </c>
      <c r="R953" s="44">
        <f t="shared" si="84"/>
        <v>7199400</v>
      </c>
      <c r="S953" s="29">
        <v>0.06</v>
      </c>
      <c r="T953" s="44">
        <f t="shared" si="88"/>
        <v>6767436</v>
      </c>
      <c r="U953" s="44">
        <f t="shared" si="89"/>
        <v>2160036</v>
      </c>
      <c r="V953" s="44"/>
    </row>
    <row r="954" spans="1:22" ht="14.5" x14ac:dyDescent="0.35">
      <c r="A954" s="47" t="str">
        <f t="shared" si="85"/>
        <v>SBY-AJ-E1030-2018</v>
      </c>
      <c r="B954" s="26">
        <v>43449</v>
      </c>
      <c r="C954" s="42">
        <v>2018</v>
      </c>
      <c r="D954" s="27" t="s">
        <v>289</v>
      </c>
      <c r="E954" s="27" t="s">
        <v>41</v>
      </c>
      <c r="F954" s="42" t="str" cm="1">
        <f t="array" ref="F954">_xlfn.IFS(E954="Bandung","BDG",E954="Surabaya","SBY",E954="Jakarta","JKT")</f>
        <v>SBY</v>
      </c>
      <c r="G954" s="27" t="s">
        <v>42</v>
      </c>
      <c r="H954" s="27" t="s">
        <v>144</v>
      </c>
      <c r="I954" s="27" t="s">
        <v>35</v>
      </c>
      <c r="J954" s="26" t="s">
        <v>1709</v>
      </c>
      <c r="K954" s="26">
        <v>43451</v>
      </c>
      <c r="L954" s="27">
        <f t="shared" si="86"/>
        <v>2</v>
      </c>
      <c r="M954" s="45">
        <v>2347500</v>
      </c>
      <c r="N954" s="45">
        <v>4514550</v>
      </c>
      <c r="O954" s="27">
        <v>20</v>
      </c>
      <c r="P954" s="46">
        <f t="shared" si="87"/>
        <v>0.48001461939728213</v>
      </c>
      <c r="Q954" s="27">
        <v>20</v>
      </c>
      <c r="R954" s="44">
        <f t="shared" si="84"/>
        <v>90291000</v>
      </c>
      <c r="S954" s="29">
        <v>0.05</v>
      </c>
      <c r="T954" s="44">
        <f t="shared" si="88"/>
        <v>85776450</v>
      </c>
      <c r="U954" s="44">
        <f t="shared" si="89"/>
        <v>38826450</v>
      </c>
      <c r="V954" s="44"/>
    </row>
    <row r="955" spans="1:22" ht="14.5" x14ac:dyDescent="0.35">
      <c r="A955" s="47" t="str">
        <f t="shared" si="85"/>
        <v>SBY-AJ-E1030-2019</v>
      </c>
      <c r="B955" s="26">
        <v>43699</v>
      </c>
      <c r="C955" s="42">
        <v>2019</v>
      </c>
      <c r="D955" s="27" t="s">
        <v>289</v>
      </c>
      <c r="E955" s="27" t="s">
        <v>41</v>
      </c>
      <c r="F955" s="42" t="str" cm="1">
        <f t="array" ref="F955">_xlfn.IFS(E955="Bandung","BDG",E955="Surabaya","SBY",E955="Jakarta","JKT")</f>
        <v>SBY</v>
      </c>
      <c r="G955" s="27" t="s">
        <v>42</v>
      </c>
      <c r="H955" s="27" t="s">
        <v>410</v>
      </c>
      <c r="I955" s="27" t="s">
        <v>35</v>
      </c>
      <c r="J955" s="26">
        <v>43701</v>
      </c>
      <c r="K955" s="26">
        <v>43701</v>
      </c>
      <c r="L955" s="27">
        <f t="shared" si="86"/>
        <v>2</v>
      </c>
      <c r="M955" s="45">
        <v>1263300</v>
      </c>
      <c r="N955" s="45">
        <v>3158250</v>
      </c>
      <c r="O955" s="27">
        <v>4</v>
      </c>
      <c r="P955" s="46">
        <f t="shared" si="87"/>
        <v>0.6</v>
      </c>
      <c r="Q955" s="27">
        <v>4</v>
      </c>
      <c r="R955" s="44">
        <f t="shared" si="84"/>
        <v>12633000</v>
      </c>
      <c r="S955" s="29">
        <v>0.05</v>
      </c>
      <c r="T955" s="44">
        <f t="shared" si="88"/>
        <v>12001350</v>
      </c>
      <c r="U955" s="44">
        <f t="shared" si="89"/>
        <v>6948150</v>
      </c>
      <c r="V955" s="44"/>
    </row>
    <row r="956" spans="1:22" ht="14.5" x14ac:dyDescent="0.35">
      <c r="A956" s="47" t="str">
        <f t="shared" si="85"/>
        <v>SBY-AH-E1034-2018</v>
      </c>
      <c r="B956" s="26">
        <v>43114</v>
      </c>
      <c r="C956" s="42">
        <v>2018</v>
      </c>
      <c r="D956" s="27" t="s">
        <v>488</v>
      </c>
      <c r="E956" s="27" t="s">
        <v>41</v>
      </c>
      <c r="F956" s="42" t="str" cm="1">
        <f t="array" ref="F956">_xlfn.IFS(E956="Bandung","BDG",E956="Surabaya","SBY",E956="Jakarta","JKT")</f>
        <v>SBY</v>
      </c>
      <c r="G956" s="27" t="s">
        <v>65</v>
      </c>
      <c r="H956" s="27" t="s">
        <v>303</v>
      </c>
      <c r="I956" s="27" t="s">
        <v>35</v>
      </c>
      <c r="J956" s="26">
        <v>43116</v>
      </c>
      <c r="K956" s="26">
        <v>43116</v>
      </c>
      <c r="L956" s="27">
        <f t="shared" si="86"/>
        <v>2</v>
      </c>
      <c r="M956" s="45">
        <v>34350</v>
      </c>
      <c r="N956" s="45">
        <v>55350</v>
      </c>
      <c r="O956" s="27">
        <v>69</v>
      </c>
      <c r="P956" s="46">
        <f t="shared" si="87"/>
        <v>0.37940379403794039</v>
      </c>
      <c r="Q956" s="27">
        <v>30</v>
      </c>
      <c r="R956" s="44">
        <f t="shared" si="84"/>
        <v>1660500</v>
      </c>
      <c r="S956" s="29">
        <v>0.09</v>
      </c>
      <c r="T956" s="44">
        <f t="shared" si="88"/>
        <v>1511055</v>
      </c>
      <c r="U956" s="44">
        <f t="shared" si="89"/>
        <v>480555</v>
      </c>
      <c r="V956" s="44"/>
    </row>
    <row r="957" spans="1:22" ht="14.5" x14ac:dyDescent="0.35">
      <c r="A957" s="47" t="str">
        <f t="shared" si="85"/>
        <v>SBY-AH-E1034-2018</v>
      </c>
      <c r="B957" s="26">
        <v>43411</v>
      </c>
      <c r="C957" s="42">
        <v>2018</v>
      </c>
      <c r="D957" s="27" t="s">
        <v>488</v>
      </c>
      <c r="E957" s="27" t="s">
        <v>41</v>
      </c>
      <c r="F957" s="42" t="str" cm="1">
        <f t="array" ref="F957">_xlfn.IFS(E957="Bandung","BDG",E957="Surabaya","SBY",E957="Jakarta","JKT")</f>
        <v>SBY</v>
      </c>
      <c r="G957" s="27" t="s">
        <v>65</v>
      </c>
      <c r="H957" s="27" t="s">
        <v>293</v>
      </c>
      <c r="I957" s="27" t="s">
        <v>35</v>
      </c>
      <c r="J957" s="26">
        <v>43292</v>
      </c>
      <c r="K957" s="26">
        <v>43411</v>
      </c>
      <c r="L957" s="27">
        <f t="shared" si="86"/>
        <v>0</v>
      </c>
      <c r="M957" s="45">
        <v>67950</v>
      </c>
      <c r="N957" s="45">
        <v>109500</v>
      </c>
      <c r="O957" s="27">
        <v>12</v>
      </c>
      <c r="P957" s="46">
        <f t="shared" si="87"/>
        <v>0.37945205479452054</v>
      </c>
      <c r="Q957" s="27">
        <v>12</v>
      </c>
      <c r="R957" s="44">
        <f t="shared" si="84"/>
        <v>1314000</v>
      </c>
      <c r="S957" s="29">
        <v>0.03</v>
      </c>
      <c r="T957" s="44">
        <f t="shared" si="88"/>
        <v>1274580</v>
      </c>
      <c r="U957" s="44">
        <f t="shared" si="89"/>
        <v>459180</v>
      </c>
      <c r="V957" s="44"/>
    </row>
    <row r="958" spans="1:22" ht="14.5" x14ac:dyDescent="0.35">
      <c r="A958" s="47" t="str">
        <f t="shared" si="85"/>
        <v>SBY-AS-E1031-2016</v>
      </c>
      <c r="B958" s="26">
        <v>42729</v>
      </c>
      <c r="C958" s="42">
        <v>2016</v>
      </c>
      <c r="D958" s="27" t="s">
        <v>264</v>
      </c>
      <c r="E958" s="27" t="s">
        <v>41</v>
      </c>
      <c r="F958" s="42" t="str" cm="1">
        <f t="array" ref="F958">_xlfn.IFS(E958="Bandung","BDG",E958="Surabaya","SBY",E958="Jakarta","JKT")</f>
        <v>SBY</v>
      </c>
      <c r="G958" s="27" t="s">
        <v>48</v>
      </c>
      <c r="H958" s="27" t="s">
        <v>216</v>
      </c>
      <c r="I958" s="27" t="s">
        <v>35</v>
      </c>
      <c r="J958" s="26" t="s">
        <v>1586</v>
      </c>
      <c r="K958" s="26">
        <v>42731</v>
      </c>
      <c r="L958" s="27">
        <f t="shared" si="86"/>
        <v>2</v>
      </c>
      <c r="M958" s="45">
        <v>66900</v>
      </c>
      <c r="N958" s="45">
        <v>163350</v>
      </c>
      <c r="O958" s="27">
        <v>37</v>
      </c>
      <c r="P958" s="46">
        <f t="shared" si="87"/>
        <v>0.59044995408631773</v>
      </c>
      <c r="Q958" s="27">
        <v>37</v>
      </c>
      <c r="R958" s="44">
        <f t="shared" si="84"/>
        <v>6043950</v>
      </c>
      <c r="S958" s="29">
        <v>0.1</v>
      </c>
      <c r="T958" s="44">
        <f t="shared" si="88"/>
        <v>5439555</v>
      </c>
      <c r="U958" s="44">
        <f t="shared" si="89"/>
        <v>2964255</v>
      </c>
      <c r="V958" s="44"/>
    </row>
    <row r="959" spans="1:22" ht="14.5" x14ac:dyDescent="0.35">
      <c r="A959" s="47" t="str">
        <f t="shared" si="85"/>
        <v>SBY-AH-E1037-2020</v>
      </c>
      <c r="B959" s="26">
        <v>43896</v>
      </c>
      <c r="C959" s="42">
        <v>2020</v>
      </c>
      <c r="D959" s="27" t="s">
        <v>723</v>
      </c>
      <c r="E959" s="27" t="s">
        <v>41</v>
      </c>
      <c r="F959" s="42" t="str" cm="1">
        <f t="array" ref="F959">_xlfn.IFS(E959="Bandung","BDG",E959="Surabaya","SBY",E959="Jakarta","JKT")</f>
        <v>SBY</v>
      </c>
      <c r="G959" s="27" t="s">
        <v>83</v>
      </c>
      <c r="H959" s="27" t="s">
        <v>87</v>
      </c>
      <c r="I959" s="27" t="s">
        <v>35</v>
      </c>
      <c r="J959" s="26">
        <v>43901</v>
      </c>
      <c r="K959" s="26">
        <v>44138</v>
      </c>
      <c r="L959" s="27">
        <f t="shared" si="86"/>
        <v>242</v>
      </c>
      <c r="M959" s="45">
        <v>52800</v>
      </c>
      <c r="N959" s="45">
        <v>85200</v>
      </c>
      <c r="O959" s="27">
        <v>52</v>
      </c>
      <c r="P959" s="46">
        <f t="shared" si="87"/>
        <v>0.38028169014084506</v>
      </c>
      <c r="Q959" s="27">
        <v>10</v>
      </c>
      <c r="R959" s="44">
        <f t="shared" si="84"/>
        <v>852000</v>
      </c>
      <c r="S959" s="29">
        <v>0.09</v>
      </c>
      <c r="T959" s="44">
        <f t="shared" si="88"/>
        <v>775320</v>
      </c>
      <c r="U959" s="44">
        <f t="shared" si="89"/>
        <v>247320</v>
      </c>
      <c r="V959" s="44"/>
    </row>
    <row r="960" spans="1:22" ht="14.5" x14ac:dyDescent="0.35">
      <c r="A960" s="47" t="str">
        <f t="shared" si="85"/>
        <v>SBY-AM-E1038-2016</v>
      </c>
      <c r="B960" s="26">
        <v>42592</v>
      </c>
      <c r="C960" s="42">
        <v>2016</v>
      </c>
      <c r="D960" s="27" t="s">
        <v>97</v>
      </c>
      <c r="E960" s="27" t="s">
        <v>41</v>
      </c>
      <c r="F960" s="42" t="str" cm="1">
        <f t="array" ref="F960">_xlfn.IFS(E960="Bandung","BDG",E960="Surabaya","SBY",E960="Jakarta","JKT")</f>
        <v>SBY</v>
      </c>
      <c r="G960" s="27" t="s">
        <v>98</v>
      </c>
      <c r="H960" s="27" t="s">
        <v>99</v>
      </c>
      <c r="I960" s="27" t="s">
        <v>35</v>
      </c>
      <c r="J960" s="26">
        <v>42651</v>
      </c>
      <c r="K960" s="26">
        <v>42592</v>
      </c>
      <c r="L960" s="27">
        <f t="shared" si="86"/>
        <v>0</v>
      </c>
      <c r="M960" s="45">
        <v>95850</v>
      </c>
      <c r="N960" s="45">
        <v>299700</v>
      </c>
      <c r="O960" s="27">
        <v>7</v>
      </c>
      <c r="P960" s="46">
        <f t="shared" si="87"/>
        <v>0.68018018018018023</v>
      </c>
      <c r="Q960" s="27">
        <v>7</v>
      </c>
      <c r="R960" s="44">
        <f t="shared" si="84"/>
        <v>2097900</v>
      </c>
      <c r="S960" s="29">
        <v>0.01</v>
      </c>
      <c r="T960" s="44">
        <f t="shared" si="88"/>
        <v>2076921</v>
      </c>
      <c r="U960" s="44">
        <f t="shared" si="89"/>
        <v>1405971</v>
      </c>
      <c r="V960" s="44"/>
    </row>
    <row r="961" spans="1:22" ht="14.5" x14ac:dyDescent="0.35">
      <c r="A961" s="47" t="str">
        <f t="shared" si="85"/>
        <v>SBY-AM-E1038-2019</v>
      </c>
      <c r="B961" s="26">
        <v>43671</v>
      </c>
      <c r="C961" s="42">
        <v>2019</v>
      </c>
      <c r="D961" s="27" t="s">
        <v>97</v>
      </c>
      <c r="E961" s="27" t="s">
        <v>41</v>
      </c>
      <c r="F961" s="42" t="str" cm="1">
        <f t="array" ref="F961">_xlfn.IFS(E961="Bandung","BDG",E961="Surabaya","SBY",E961="Jakarta","JKT")</f>
        <v>SBY</v>
      </c>
      <c r="G961" s="27" t="s">
        <v>98</v>
      </c>
      <c r="H961" s="27" t="s">
        <v>552</v>
      </c>
      <c r="I961" s="27" t="s">
        <v>35</v>
      </c>
      <c r="J961" s="26">
        <v>43673</v>
      </c>
      <c r="K961" s="26">
        <v>43673</v>
      </c>
      <c r="L961" s="27">
        <f t="shared" si="86"/>
        <v>2</v>
      </c>
      <c r="M961" s="45">
        <v>59850</v>
      </c>
      <c r="N961" s="45">
        <v>93450</v>
      </c>
      <c r="O961" s="27">
        <v>54</v>
      </c>
      <c r="P961" s="46">
        <f t="shared" si="87"/>
        <v>0.3595505617977528</v>
      </c>
      <c r="Q961" s="27">
        <v>21</v>
      </c>
      <c r="R961" s="44">
        <f t="shared" si="84"/>
        <v>1962450</v>
      </c>
      <c r="S961" s="29">
        <v>0.05</v>
      </c>
      <c r="T961" s="44">
        <f t="shared" si="88"/>
        <v>1864327.5</v>
      </c>
      <c r="U961" s="44">
        <f t="shared" si="89"/>
        <v>607477.5</v>
      </c>
      <c r="V961" s="44"/>
    </row>
    <row r="962" spans="1:22" ht="14.5" x14ac:dyDescent="0.35">
      <c r="A962" s="47" t="str">
        <f t="shared" si="85"/>
        <v>SBY-AA-E1031-2016</v>
      </c>
      <c r="B962" s="26">
        <v>42685</v>
      </c>
      <c r="C962" s="42">
        <v>2016</v>
      </c>
      <c r="D962" s="27" t="s">
        <v>222</v>
      </c>
      <c r="E962" s="27" t="s">
        <v>41</v>
      </c>
      <c r="F962" s="42" t="str" cm="1">
        <f t="array" ref="F962">_xlfn.IFS(E962="Bandung","BDG",E962="Surabaya","SBY",E962="Jakarta","JKT")</f>
        <v>SBY</v>
      </c>
      <c r="G962" s="27" t="s">
        <v>48</v>
      </c>
      <c r="H962" s="27" t="s">
        <v>223</v>
      </c>
      <c r="I962" s="27" t="s">
        <v>46</v>
      </c>
      <c r="J962" s="26">
        <v>42715</v>
      </c>
      <c r="K962" s="26">
        <v>42686</v>
      </c>
      <c r="L962" s="27">
        <f t="shared" si="86"/>
        <v>1</v>
      </c>
      <c r="M962" s="45">
        <v>1151850</v>
      </c>
      <c r="N962" s="45">
        <v>1799850</v>
      </c>
      <c r="O962" s="27">
        <v>24</v>
      </c>
      <c r="P962" s="46">
        <f t="shared" si="87"/>
        <v>0.36003000250020833</v>
      </c>
      <c r="Q962" s="27">
        <v>24</v>
      </c>
      <c r="R962" s="44">
        <f t="shared" si="84"/>
        <v>43196400</v>
      </c>
      <c r="S962" s="29">
        <v>0.02</v>
      </c>
      <c r="T962" s="44">
        <f t="shared" si="88"/>
        <v>42332472</v>
      </c>
      <c r="U962" s="44">
        <f t="shared" si="89"/>
        <v>14688072</v>
      </c>
      <c r="V962" s="44"/>
    </row>
    <row r="963" spans="1:22" ht="14.5" x14ac:dyDescent="0.35">
      <c r="A963" s="47" t="str">
        <f t="shared" si="85"/>
        <v>SBY-AA-E1031-2018</v>
      </c>
      <c r="B963" s="26">
        <v>43234</v>
      </c>
      <c r="C963" s="42">
        <v>2018</v>
      </c>
      <c r="D963" s="27" t="s">
        <v>222</v>
      </c>
      <c r="E963" s="27" t="s">
        <v>41</v>
      </c>
      <c r="F963" s="42" t="str" cm="1">
        <f t="array" ref="F963">_xlfn.IFS(E963="Bandung","BDG",E963="Surabaya","SBY",E963="Jakarta","JKT")</f>
        <v>SBY</v>
      </c>
      <c r="G963" s="27" t="s">
        <v>48</v>
      </c>
      <c r="H963" s="27" t="s">
        <v>101</v>
      </c>
      <c r="I963" s="27" t="s">
        <v>35</v>
      </c>
      <c r="J963" s="26" t="s">
        <v>1663</v>
      </c>
      <c r="K963" s="26">
        <v>43235</v>
      </c>
      <c r="L963" s="27">
        <f t="shared" si="86"/>
        <v>1</v>
      </c>
      <c r="M963" s="45">
        <v>480300.00000000006</v>
      </c>
      <c r="N963" s="45">
        <v>2287200</v>
      </c>
      <c r="O963" s="27">
        <v>62</v>
      </c>
      <c r="P963" s="46">
        <f t="shared" si="87"/>
        <v>0.79000524658971671</v>
      </c>
      <c r="Q963" s="27">
        <v>21</v>
      </c>
      <c r="R963" s="44">
        <f t="shared" si="84"/>
        <v>48031200</v>
      </c>
      <c r="S963" s="29">
        <v>0.03</v>
      </c>
      <c r="T963" s="44">
        <f t="shared" si="88"/>
        <v>46590264</v>
      </c>
      <c r="U963" s="44">
        <f t="shared" si="89"/>
        <v>36503964</v>
      </c>
      <c r="V963" s="44"/>
    </row>
    <row r="964" spans="1:22" ht="14.5" x14ac:dyDescent="0.35">
      <c r="A964" s="47" t="str">
        <f t="shared" si="85"/>
        <v>SBY-AP-E1040-2018</v>
      </c>
      <c r="B964" s="26">
        <v>43304</v>
      </c>
      <c r="C964" s="42">
        <v>2018</v>
      </c>
      <c r="D964" s="27" t="s">
        <v>570</v>
      </c>
      <c r="E964" s="27" t="s">
        <v>41</v>
      </c>
      <c r="F964" s="42" t="str" cm="1">
        <f t="array" ref="F964">_xlfn.IFS(E964="Bandung","BDG",E964="Surabaya","SBY",E964="Jakarta","JKT")</f>
        <v>SBY</v>
      </c>
      <c r="G964" s="27" t="s">
        <v>160</v>
      </c>
      <c r="H964" s="27" t="s">
        <v>227</v>
      </c>
      <c r="I964" s="27" t="s">
        <v>39</v>
      </c>
      <c r="J964" s="26" t="s">
        <v>1679</v>
      </c>
      <c r="K964" s="26">
        <v>43305</v>
      </c>
      <c r="L964" s="27">
        <f t="shared" si="86"/>
        <v>1</v>
      </c>
      <c r="M964" s="45">
        <v>22950</v>
      </c>
      <c r="N964" s="45">
        <v>41700</v>
      </c>
      <c r="O964" s="27">
        <v>57</v>
      </c>
      <c r="P964" s="46">
        <f t="shared" si="87"/>
        <v>0.44964028776978415</v>
      </c>
      <c r="Q964" s="27">
        <v>19</v>
      </c>
      <c r="R964" s="44">
        <f t="shared" ref="R964:R1027" si="90">N964*Q964</f>
        <v>792300</v>
      </c>
      <c r="S964" s="29">
        <v>0.06</v>
      </c>
      <c r="T964" s="44">
        <f t="shared" si="88"/>
        <v>744762</v>
      </c>
      <c r="U964" s="44">
        <f t="shared" si="89"/>
        <v>308712</v>
      </c>
      <c r="V964" s="44"/>
    </row>
    <row r="965" spans="1:22" ht="14.5" x14ac:dyDescent="0.35">
      <c r="A965" s="47" t="str">
        <f t="shared" ref="A965:A1003" si="91">_xlfn.CONCAT(F965,"-",LEFT(D965,1),MID(D965,FIND(" ",D965)+1,1),"-",G965,"-",C965)</f>
        <v>SBY-AR-E1038-2018</v>
      </c>
      <c r="B965" s="26">
        <v>43166</v>
      </c>
      <c r="C965" s="42">
        <v>2018</v>
      </c>
      <c r="D965" s="27" t="s">
        <v>510</v>
      </c>
      <c r="E965" s="27" t="s">
        <v>41</v>
      </c>
      <c r="F965" s="42" t="str" cm="1">
        <f t="array" ref="F965">_xlfn.IFS(E965="Bandung","BDG",E965="Surabaya","SBY",E965="Jakarta","JKT")</f>
        <v>SBY</v>
      </c>
      <c r="G965" s="27" t="s">
        <v>98</v>
      </c>
      <c r="H965" s="27" t="s">
        <v>152</v>
      </c>
      <c r="I965" s="27" t="s">
        <v>35</v>
      </c>
      <c r="J965" s="26">
        <v>43376</v>
      </c>
      <c r="K965" s="26">
        <v>43169</v>
      </c>
      <c r="L965" s="27">
        <f t="shared" ref="L965:L1003" si="92">K965-B965</f>
        <v>3</v>
      </c>
      <c r="M965" s="45">
        <v>133800</v>
      </c>
      <c r="N965" s="45">
        <v>446100</v>
      </c>
      <c r="O965" s="27">
        <v>34</v>
      </c>
      <c r="P965" s="46">
        <f t="shared" ref="P965:P1003" si="93">(N965-M965)/N965</f>
        <v>0.70006724949562882</v>
      </c>
      <c r="Q965" s="27">
        <v>34</v>
      </c>
      <c r="R965" s="44">
        <f t="shared" si="90"/>
        <v>15167400</v>
      </c>
      <c r="S965" s="29">
        <v>0.09</v>
      </c>
      <c r="T965" s="44">
        <f t="shared" ref="T965:T1003" si="94">R965*(1-S965)</f>
        <v>13802334</v>
      </c>
      <c r="U965" s="44">
        <f t="shared" ref="U965:U1003" si="95">T965-(M965*Q965)</f>
        <v>9253134</v>
      </c>
      <c r="V965" s="44"/>
    </row>
    <row r="966" spans="1:22" ht="14.5" x14ac:dyDescent="0.35">
      <c r="A966" s="47" t="str">
        <f t="shared" si="91"/>
        <v>SBY-AF-E1037-2020</v>
      </c>
      <c r="B966" s="26">
        <v>43836</v>
      </c>
      <c r="C966" s="42">
        <v>2020</v>
      </c>
      <c r="D966" s="27" t="s">
        <v>709</v>
      </c>
      <c r="E966" s="27" t="s">
        <v>41</v>
      </c>
      <c r="F966" s="42" t="str" cm="1">
        <f t="array" ref="F966">_xlfn.IFS(E966="Bandung","BDG",E966="Surabaya","SBY",E966="Jakarta","JKT")</f>
        <v>SBY</v>
      </c>
      <c r="G966" s="27" t="s">
        <v>83</v>
      </c>
      <c r="H966" s="27" t="s">
        <v>180</v>
      </c>
      <c r="I966" s="27" t="s">
        <v>35</v>
      </c>
      <c r="J966" s="26">
        <v>44075</v>
      </c>
      <c r="K966" s="26">
        <v>43839</v>
      </c>
      <c r="L966" s="27">
        <f t="shared" si="92"/>
        <v>3</v>
      </c>
      <c r="M966" s="45">
        <v>51000</v>
      </c>
      <c r="N966" s="45">
        <v>81000</v>
      </c>
      <c r="O966" s="27">
        <v>38</v>
      </c>
      <c r="P966" s="46">
        <f t="shared" si="93"/>
        <v>0.37037037037037035</v>
      </c>
      <c r="Q966" s="27">
        <v>38</v>
      </c>
      <c r="R966" s="44">
        <f t="shared" si="90"/>
        <v>3078000</v>
      </c>
      <c r="S966" s="29">
        <v>0.03</v>
      </c>
      <c r="T966" s="44">
        <f t="shared" si="94"/>
        <v>2985660</v>
      </c>
      <c r="U966" s="44">
        <f t="shared" si="95"/>
        <v>1047660</v>
      </c>
      <c r="V966" s="44"/>
    </row>
    <row r="967" spans="1:22" ht="14.5" x14ac:dyDescent="0.35">
      <c r="A967" s="47" t="str">
        <f t="shared" si="91"/>
        <v>SBY-AU-E1034-2016</v>
      </c>
      <c r="B967" s="26">
        <v>42560</v>
      </c>
      <c r="C967" s="42">
        <v>2016</v>
      </c>
      <c r="D967" s="27" t="s">
        <v>85</v>
      </c>
      <c r="E967" s="27" t="s">
        <v>41</v>
      </c>
      <c r="F967" s="42" t="str" cm="1">
        <f t="array" ref="F967">_xlfn.IFS(E967="Bandung","BDG",E967="Surabaya","SBY",E967="Jakarta","JKT")</f>
        <v>SBY</v>
      </c>
      <c r="G967" s="27" t="s">
        <v>65</v>
      </c>
      <c r="H967" s="27" t="s">
        <v>61</v>
      </c>
      <c r="I967" s="27" t="s">
        <v>35</v>
      </c>
      <c r="J967" s="26" t="s">
        <v>1557</v>
      </c>
      <c r="K967" s="26">
        <v>42567</v>
      </c>
      <c r="L967" s="27">
        <f t="shared" si="92"/>
        <v>7</v>
      </c>
      <c r="M967" s="45">
        <v>79950</v>
      </c>
      <c r="N967" s="45">
        <v>129000</v>
      </c>
      <c r="O967" s="27">
        <v>37</v>
      </c>
      <c r="P967" s="46">
        <f t="shared" si="93"/>
        <v>0.38023255813953488</v>
      </c>
      <c r="Q967" s="27">
        <v>37</v>
      </c>
      <c r="R967" s="44">
        <f t="shared" si="90"/>
        <v>4773000</v>
      </c>
      <c r="S967" s="29">
        <v>0.04</v>
      </c>
      <c r="T967" s="44">
        <f t="shared" si="94"/>
        <v>4582080</v>
      </c>
      <c r="U967" s="44">
        <f t="shared" si="95"/>
        <v>1623930</v>
      </c>
      <c r="V967" s="44"/>
    </row>
    <row r="968" spans="1:22" ht="14.5" x14ac:dyDescent="0.35">
      <c r="A968" s="47" t="str">
        <f t="shared" si="91"/>
        <v>SBY-AU-E1034-2016</v>
      </c>
      <c r="B968" s="26">
        <v>42677</v>
      </c>
      <c r="C968" s="42">
        <v>2016</v>
      </c>
      <c r="D968" s="27" t="s">
        <v>85</v>
      </c>
      <c r="E968" s="27" t="s">
        <v>41</v>
      </c>
      <c r="F968" s="42" t="str" cm="1">
        <f t="array" ref="F968">_xlfn.IFS(E968="Bandung","BDG",E968="Surabaya","SBY",E968="Jakarta","JKT")</f>
        <v>SBY</v>
      </c>
      <c r="G968" s="27" t="s">
        <v>65</v>
      </c>
      <c r="H968" s="27" t="s">
        <v>211</v>
      </c>
      <c r="I968" s="27" t="s">
        <v>35</v>
      </c>
      <c r="J968" s="26">
        <v>42681</v>
      </c>
      <c r="K968" s="26">
        <v>42562</v>
      </c>
      <c r="L968" s="27">
        <f t="shared" si="92"/>
        <v>-115</v>
      </c>
      <c r="M968" s="45">
        <v>97650</v>
      </c>
      <c r="N968" s="45">
        <v>464700</v>
      </c>
      <c r="O968" s="27">
        <v>29</v>
      </c>
      <c r="P968" s="46">
        <f t="shared" si="93"/>
        <v>0.78986442866365392</v>
      </c>
      <c r="Q968" s="27">
        <v>29</v>
      </c>
      <c r="R968" s="44">
        <f t="shared" si="90"/>
        <v>13476300</v>
      </c>
      <c r="S968" s="29">
        <v>0.03</v>
      </c>
      <c r="T968" s="44">
        <f t="shared" si="94"/>
        <v>13072011</v>
      </c>
      <c r="U968" s="44">
        <f t="shared" si="95"/>
        <v>10240161</v>
      </c>
      <c r="V968" s="44"/>
    </row>
    <row r="969" spans="1:22" ht="14.5" x14ac:dyDescent="0.35">
      <c r="A969" s="47" t="str">
        <f t="shared" si="91"/>
        <v>SBY-AU-E1034-2017</v>
      </c>
      <c r="B969" s="26">
        <v>43007</v>
      </c>
      <c r="C969" s="42">
        <v>2017</v>
      </c>
      <c r="D969" s="27" t="s">
        <v>85</v>
      </c>
      <c r="E969" s="27" t="s">
        <v>41</v>
      </c>
      <c r="F969" s="42" t="str" cm="1">
        <f t="array" ref="F969">_xlfn.IFS(E969="Bandung","BDG",E969="Surabaya","SBY",E969="Jakarta","JKT")</f>
        <v>SBY</v>
      </c>
      <c r="G969" s="27" t="s">
        <v>65</v>
      </c>
      <c r="H969" s="27" t="s">
        <v>138</v>
      </c>
      <c r="I969" s="27" t="s">
        <v>35</v>
      </c>
      <c r="J969" s="26" t="s">
        <v>1633</v>
      </c>
      <c r="K969" s="26">
        <v>43008</v>
      </c>
      <c r="L969" s="27">
        <f t="shared" si="92"/>
        <v>1</v>
      </c>
      <c r="M969" s="45">
        <v>17700</v>
      </c>
      <c r="N969" s="45">
        <v>28200</v>
      </c>
      <c r="O969" s="27">
        <v>19</v>
      </c>
      <c r="P969" s="46">
        <f t="shared" si="93"/>
        <v>0.37234042553191488</v>
      </c>
      <c r="Q969" s="27">
        <v>19</v>
      </c>
      <c r="R969" s="44">
        <f t="shared" si="90"/>
        <v>535800</v>
      </c>
      <c r="S969" s="29">
        <v>7.0000000000000007E-2</v>
      </c>
      <c r="T969" s="44">
        <f t="shared" si="94"/>
        <v>498293.99999999994</v>
      </c>
      <c r="U969" s="44">
        <f t="shared" si="95"/>
        <v>161993.99999999994</v>
      </c>
      <c r="V969" s="44"/>
    </row>
    <row r="970" spans="1:22" ht="14.5" x14ac:dyDescent="0.35">
      <c r="A970" s="47" t="str">
        <f t="shared" si="91"/>
        <v>SBY-AU-E1034-2018</v>
      </c>
      <c r="B970" s="26">
        <v>43442</v>
      </c>
      <c r="C970" s="42">
        <v>2018</v>
      </c>
      <c r="D970" s="27" t="s">
        <v>85</v>
      </c>
      <c r="E970" s="27" t="s">
        <v>41</v>
      </c>
      <c r="F970" s="42" t="str" cm="1">
        <f t="array" ref="F970">_xlfn.IFS(E970="Bandung","BDG",E970="Surabaya","SBY",E970="Jakarta","JKT")</f>
        <v>SBY</v>
      </c>
      <c r="G970" s="27" t="s">
        <v>65</v>
      </c>
      <c r="H970" s="27" t="s">
        <v>303</v>
      </c>
      <c r="I970" s="27" t="s">
        <v>35</v>
      </c>
      <c r="J970" s="26">
        <v>43443</v>
      </c>
      <c r="K970" s="26">
        <v>43355</v>
      </c>
      <c r="L970" s="27">
        <f t="shared" si="92"/>
        <v>-87</v>
      </c>
      <c r="M970" s="45">
        <v>34350</v>
      </c>
      <c r="N970" s="45">
        <v>55350</v>
      </c>
      <c r="O970" s="27">
        <v>39</v>
      </c>
      <c r="P970" s="46">
        <f t="shared" si="93"/>
        <v>0.37940379403794039</v>
      </c>
      <c r="Q970" s="27">
        <v>39</v>
      </c>
      <c r="R970" s="44">
        <f t="shared" si="90"/>
        <v>2158650</v>
      </c>
      <c r="S970" s="29">
        <v>0.03</v>
      </c>
      <c r="T970" s="44">
        <f t="shared" si="94"/>
        <v>2093890.5</v>
      </c>
      <c r="U970" s="44">
        <f t="shared" si="95"/>
        <v>754240.5</v>
      </c>
      <c r="V970" s="44"/>
    </row>
    <row r="971" spans="1:22" ht="14.5" x14ac:dyDescent="0.35">
      <c r="A971" s="47" t="str">
        <f t="shared" si="91"/>
        <v>JKT-AM-E1028-2016</v>
      </c>
      <c r="B971" s="26">
        <v>42596</v>
      </c>
      <c r="C971" s="42">
        <v>2016</v>
      </c>
      <c r="D971" s="27" t="s">
        <v>108</v>
      </c>
      <c r="E971" s="27" t="s">
        <v>32</v>
      </c>
      <c r="F971" s="42" t="str" cm="1">
        <f t="array" ref="F971">_xlfn.IFS(E971="Bandung","BDG",E971="Surabaya","SBY",E971="Jakarta","JKT")</f>
        <v>JKT</v>
      </c>
      <c r="G971" s="27" t="s">
        <v>33</v>
      </c>
      <c r="H971" s="27" t="s">
        <v>109</v>
      </c>
      <c r="I971" s="27" t="s">
        <v>35</v>
      </c>
      <c r="J971" s="26" t="s">
        <v>1561</v>
      </c>
      <c r="K971" s="26">
        <v>42597</v>
      </c>
      <c r="L971" s="27">
        <f t="shared" si="92"/>
        <v>1</v>
      </c>
      <c r="M971" s="45">
        <v>130650.00000000001</v>
      </c>
      <c r="N971" s="45">
        <v>214200</v>
      </c>
      <c r="O971" s="27">
        <v>42</v>
      </c>
      <c r="P971" s="46">
        <f t="shared" si="93"/>
        <v>0.39005602240896353</v>
      </c>
      <c r="Q971" s="27">
        <v>42</v>
      </c>
      <c r="R971" s="44">
        <f t="shared" si="90"/>
        <v>8996400</v>
      </c>
      <c r="S971" s="29">
        <v>0.1</v>
      </c>
      <c r="T971" s="44">
        <f t="shared" si="94"/>
        <v>8096760</v>
      </c>
      <c r="U971" s="44">
        <f t="shared" si="95"/>
        <v>2609459.9999999991</v>
      </c>
      <c r="V971" s="44"/>
    </row>
    <row r="972" spans="1:22" ht="14.5" x14ac:dyDescent="0.35">
      <c r="A972" s="47" t="str">
        <f t="shared" si="91"/>
        <v>JKT-AM-E1028-2016</v>
      </c>
      <c r="B972" s="26">
        <v>42613</v>
      </c>
      <c r="C972" s="42">
        <v>2016</v>
      </c>
      <c r="D972" s="27" t="s">
        <v>108</v>
      </c>
      <c r="E972" s="27" t="s">
        <v>32</v>
      </c>
      <c r="F972" s="42" t="str" cm="1">
        <f t="array" ref="F972">_xlfn.IFS(E972="Bandung","BDG",E972="Surabaya","SBY",E972="Jakarta","JKT")</f>
        <v>JKT</v>
      </c>
      <c r="G972" s="27" t="s">
        <v>33</v>
      </c>
      <c r="H972" s="27" t="s">
        <v>130</v>
      </c>
      <c r="I972" s="27" t="s">
        <v>39</v>
      </c>
      <c r="J972" s="26">
        <v>42614</v>
      </c>
      <c r="K972" s="26">
        <v>42378</v>
      </c>
      <c r="L972" s="27">
        <f t="shared" si="92"/>
        <v>-235</v>
      </c>
      <c r="M972" s="45">
        <v>56250</v>
      </c>
      <c r="N972" s="45">
        <v>106200</v>
      </c>
      <c r="O972" s="27">
        <v>60</v>
      </c>
      <c r="P972" s="46">
        <f t="shared" si="93"/>
        <v>0.47033898305084748</v>
      </c>
      <c r="Q972" s="27">
        <v>29</v>
      </c>
      <c r="R972" s="44">
        <f t="shared" si="90"/>
        <v>3079800</v>
      </c>
      <c r="S972" s="29">
        <v>0.04</v>
      </c>
      <c r="T972" s="44">
        <f t="shared" si="94"/>
        <v>2956608</v>
      </c>
      <c r="U972" s="44">
        <f t="shared" si="95"/>
        <v>1325358</v>
      </c>
      <c r="V972" s="44"/>
    </row>
    <row r="973" spans="1:22" ht="14.5" x14ac:dyDescent="0.35">
      <c r="A973" s="47" t="str">
        <f t="shared" si="91"/>
        <v>JKT-AK-E1029-2018</v>
      </c>
      <c r="B973" s="26">
        <v>43322</v>
      </c>
      <c r="C973" s="42">
        <v>2018</v>
      </c>
      <c r="D973" s="27" t="s">
        <v>578</v>
      </c>
      <c r="E973" s="27" t="s">
        <v>32</v>
      </c>
      <c r="F973" s="42" t="str" cm="1">
        <f t="array" ref="F973">_xlfn.IFS(E973="Bandung","BDG",E973="Surabaya","SBY",E973="Jakarta","JKT")</f>
        <v>JKT</v>
      </c>
      <c r="G973" s="27" t="s">
        <v>37</v>
      </c>
      <c r="H973" s="27" t="s">
        <v>402</v>
      </c>
      <c r="I973" s="27" t="s">
        <v>46</v>
      </c>
      <c r="J973" s="26" t="s">
        <v>1682</v>
      </c>
      <c r="K973" s="26">
        <v>43325</v>
      </c>
      <c r="L973" s="27">
        <f t="shared" si="92"/>
        <v>3</v>
      </c>
      <c r="M973" s="45">
        <v>4734150</v>
      </c>
      <c r="N973" s="45">
        <v>7514550</v>
      </c>
      <c r="O973" s="27">
        <v>44</v>
      </c>
      <c r="P973" s="46">
        <f t="shared" si="93"/>
        <v>0.37000219574026388</v>
      </c>
      <c r="Q973" s="27">
        <v>44</v>
      </c>
      <c r="R973" s="44">
        <f t="shared" si="90"/>
        <v>330640200</v>
      </c>
      <c r="S973" s="29">
        <v>0.09</v>
      </c>
      <c r="T973" s="44">
        <f t="shared" si="94"/>
        <v>300882582</v>
      </c>
      <c r="U973" s="44">
        <f t="shared" si="95"/>
        <v>92579982</v>
      </c>
      <c r="V973" s="44"/>
    </row>
    <row r="974" spans="1:22" ht="14.5" x14ac:dyDescent="0.35">
      <c r="A974" s="47" t="str">
        <f t="shared" si="91"/>
        <v>JKT-AK-E1029-2018</v>
      </c>
      <c r="B974" s="26">
        <v>43353</v>
      </c>
      <c r="C974" s="42">
        <v>2018</v>
      </c>
      <c r="D974" s="27" t="s">
        <v>578</v>
      </c>
      <c r="E974" s="27" t="s">
        <v>32</v>
      </c>
      <c r="F974" s="42" t="str" cm="1">
        <f t="array" ref="F974">_xlfn.IFS(E974="Bandung","BDG",E974="Surabaya","SBY",E974="Jakarta","JKT")</f>
        <v>JKT</v>
      </c>
      <c r="G974" s="27" t="s">
        <v>37</v>
      </c>
      <c r="H974" s="27" t="s">
        <v>440</v>
      </c>
      <c r="I974" s="27" t="s">
        <v>35</v>
      </c>
      <c r="J974" s="26">
        <v>43443</v>
      </c>
      <c r="K974" s="26">
        <v>43355</v>
      </c>
      <c r="L974" s="27">
        <f t="shared" si="92"/>
        <v>2</v>
      </c>
      <c r="M974" s="45">
        <v>27600</v>
      </c>
      <c r="N974" s="45">
        <v>43200</v>
      </c>
      <c r="O974" s="27">
        <v>24</v>
      </c>
      <c r="P974" s="46">
        <f t="shared" si="93"/>
        <v>0.3611111111111111</v>
      </c>
      <c r="Q974" s="27">
        <v>24</v>
      </c>
      <c r="R974" s="44">
        <f t="shared" si="90"/>
        <v>1036800</v>
      </c>
      <c r="S974" s="29">
        <v>7.0000000000000007E-2</v>
      </c>
      <c r="T974" s="44">
        <f t="shared" si="94"/>
        <v>964223.99999999988</v>
      </c>
      <c r="U974" s="44">
        <f t="shared" si="95"/>
        <v>301823.99999999988</v>
      </c>
      <c r="V974" s="44"/>
    </row>
    <row r="975" spans="1:22" ht="14.5" x14ac:dyDescent="0.35">
      <c r="A975" s="47" t="str">
        <f t="shared" si="91"/>
        <v>JKT-AK-E1029-2019</v>
      </c>
      <c r="B975" s="26">
        <v>43515</v>
      </c>
      <c r="C975" s="42">
        <v>2019</v>
      </c>
      <c r="D975" s="27" t="s">
        <v>578</v>
      </c>
      <c r="E975" s="27" t="s">
        <v>32</v>
      </c>
      <c r="F975" s="42" t="str" cm="1">
        <f t="array" ref="F975">_xlfn.IFS(E975="Bandung","BDG",E975="Surabaya","SBY",E975="Jakarta","JKT")</f>
        <v>JKT</v>
      </c>
      <c r="G975" s="27" t="s">
        <v>37</v>
      </c>
      <c r="H975" s="27" t="s">
        <v>113</v>
      </c>
      <c r="I975" s="27" t="s">
        <v>39</v>
      </c>
      <c r="J975" s="26">
        <v>43516</v>
      </c>
      <c r="K975" s="26">
        <v>43516</v>
      </c>
      <c r="L975" s="27">
        <f t="shared" si="92"/>
        <v>1</v>
      </c>
      <c r="M975" s="45">
        <v>52050</v>
      </c>
      <c r="N975" s="45">
        <v>100200</v>
      </c>
      <c r="O975" s="27">
        <v>12</v>
      </c>
      <c r="P975" s="46">
        <f t="shared" si="93"/>
        <v>0.48053892215568861</v>
      </c>
      <c r="Q975" s="27">
        <v>12</v>
      </c>
      <c r="R975" s="44">
        <f t="shared" si="90"/>
        <v>1202400</v>
      </c>
      <c r="S975" s="29">
        <v>0.06</v>
      </c>
      <c r="T975" s="44">
        <f t="shared" si="94"/>
        <v>1130256</v>
      </c>
      <c r="U975" s="44">
        <f t="shared" si="95"/>
        <v>505656</v>
      </c>
      <c r="V975" s="44"/>
    </row>
    <row r="976" spans="1:22" ht="14.5" x14ac:dyDescent="0.35">
      <c r="A976" s="47" t="str">
        <f t="shared" si="91"/>
        <v>SBY-AS-E1035-2017</v>
      </c>
      <c r="B976" s="26">
        <v>42740</v>
      </c>
      <c r="C976" s="42">
        <v>2017</v>
      </c>
      <c r="D976" s="27" t="s">
        <v>274</v>
      </c>
      <c r="E976" s="27" t="s">
        <v>41</v>
      </c>
      <c r="F976" s="42" t="str" cm="1">
        <f t="array" ref="F976">_xlfn.IFS(E976="Bandung","BDG",E976="Surabaya","SBY",E976="Jakarta","JKT")</f>
        <v>SBY</v>
      </c>
      <c r="G976" s="27" t="s">
        <v>71</v>
      </c>
      <c r="H976" s="27" t="s">
        <v>129</v>
      </c>
      <c r="I976" s="27" t="s">
        <v>120</v>
      </c>
      <c r="J976" s="26">
        <v>42747</v>
      </c>
      <c r="K976" s="26">
        <v>43070</v>
      </c>
      <c r="L976" s="27">
        <f t="shared" si="92"/>
        <v>330</v>
      </c>
      <c r="M976" s="45">
        <v>148650</v>
      </c>
      <c r="N976" s="45">
        <v>239850</v>
      </c>
      <c r="O976" s="27">
        <v>27</v>
      </c>
      <c r="P976" s="46">
        <f t="shared" si="93"/>
        <v>0.38023764853033148</v>
      </c>
      <c r="Q976" s="27">
        <v>27</v>
      </c>
      <c r="R976" s="44">
        <f t="shared" si="90"/>
        <v>6475950</v>
      </c>
      <c r="S976" s="29">
        <v>0.01</v>
      </c>
      <c r="T976" s="44">
        <f t="shared" si="94"/>
        <v>6411190.5</v>
      </c>
      <c r="U976" s="44">
        <f t="shared" si="95"/>
        <v>2397640.5</v>
      </c>
      <c r="V976" s="44"/>
    </row>
    <row r="977" spans="1:22" ht="14.5" x14ac:dyDescent="0.35">
      <c r="A977" s="47" t="str">
        <f t="shared" si="91"/>
        <v>SBY-AW-E1040-2019</v>
      </c>
      <c r="B977" s="26">
        <v>43635</v>
      </c>
      <c r="C977" s="42">
        <v>2019</v>
      </c>
      <c r="D977" s="27" t="s">
        <v>663</v>
      </c>
      <c r="E977" s="27" t="s">
        <v>41</v>
      </c>
      <c r="F977" s="42" t="str" cm="1">
        <f t="array" ref="F977">_xlfn.IFS(E977="Bandung","BDG",E977="Surabaya","SBY",E977="Jakarta","JKT")</f>
        <v>SBY</v>
      </c>
      <c r="G977" s="27" t="s">
        <v>160</v>
      </c>
      <c r="H977" s="27" t="s">
        <v>552</v>
      </c>
      <c r="I977" s="27" t="s">
        <v>35</v>
      </c>
      <c r="J977" s="26" t="s">
        <v>1733</v>
      </c>
      <c r="K977" s="26">
        <v>43636</v>
      </c>
      <c r="L977" s="27">
        <f t="shared" si="92"/>
        <v>1</v>
      </c>
      <c r="M977" s="45">
        <v>59850</v>
      </c>
      <c r="N977" s="45">
        <v>93450</v>
      </c>
      <c r="O977" s="27">
        <v>33</v>
      </c>
      <c r="P977" s="46">
        <f t="shared" si="93"/>
        <v>0.3595505617977528</v>
      </c>
      <c r="Q977" s="27">
        <v>33</v>
      </c>
      <c r="R977" s="44">
        <f t="shared" si="90"/>
        <v>3083850</v>
      </c>
      <c r="S977" s="29">
        <v>0.08</v>
      </c>
      <c r="T977" s="44">
        <f t="shared" si="94"/>
        <v>2837142</v>
      </c>
      <c r="U977" s="44">
        <f t="shared" si="95"/>
        <v>862092</v>
      </c>
      <c r="V977" s="44"/>
    </row>
    <row r="978" spans="1:22" ht="14.5" x14ac:dyDescent="0.35">
      <c r="A978" s="47" t="str">
        <f t="shared" si="91"/>
        <v>SBY-AW-E1040-2019</v>
      </c>
      <c r="B978" s="26">
        <v>43647</v>
      </c>
      <c r="C978" s="42">
        <v>2019</v>
      </c>
      <c r="D978" s="27" t="s">
        <v>663</v>
      </c>
      <c r="E978" s="27" t="s">
        <v>41</v>
      </c>
      <c r="F978" s="42" t="str" cm="1">
        <f t="array" ref="F978">_xlfn.IFS(E978="Bandung","BDG",E978="Surabaya","SBY",E978="Jakarta","JKT")</f>
        <v>SBY</v>
      </c>
      <c r="G978" s="27" t="s">
        <v>160</v>
      </c>
      <c r="H978" s="27" t="s">
        <v>449</v>
      </c>
      <c r="I978" s="27" t="s">
        <v>35</v>
      </c>
      <c r="J978" s="26">
        <v>43652</v>
      </c>
      <c r="K978" s="26">
        <v>43623</v>
      </c>
      <c r="L978" s="27">
        <f t="shared" si="92"/>
        <v>-24</v>
      </c>
      <c r="M978" s="45">
        <v>27600</v>
      </c>
      <c r="N978" s="45">
        <v>43200</v>
      </c>
      <c r="O978" s="27">
        <v>18</v>
      </c>
      <c r="P978" s="46">
        <f t="shared" si="93"/>
        <v>0.3611111111111111</v>
      </c>
      <c r="Q978" s="27">
        <v>18</v>
      </c>
      <c r="R978" s="44">
        <f t="shared" si="90"/>
        <v>777600</v>
      </c>
      <c r="S978" s="29">
        <v>0.02</v>
      </c>
      <c r="T978" s="44">
        <f t="shared" si="94"/>
        <v>762048</v>
      </c>
      <c r="U978" s="44">
        <f t="shared" si="95"/>
        <v>265248</v>
      </c>
      <c r="V978" s="44"/>
    </row>
    <row r="979" spans="1:22" ht="14.5" x14ac:dyDescent="0.35">
      <c r="A979" s="47" t="str">
        <f t="shared" si="91"/>
        <v>SBY-AP-E1037-2017</v>
      </c>
      <c r="B979" s="26">
        <v>42831</v>
      </c>
      <c r="C979" s="42">
        <v>2017</v>
      </c>
      <c r="D979" s="27" t="s">
        <v>334</v>
      </c>
      <c r="E979" s="27" t="s">
        <v>41</v>
      </c>
      <c r="F979" s="42" t="str" cm="1">
        <f t="array" ref="F979">_xlfn.IFS(E979="Bandung","BDG",E979="Surabaya","SBY",E979="Jakarta","JKT")</f>
        <v>SBY</v>
      </c>
      <c r="G979" s="27" t="s">
        <v>83</v>
      </c>
      <c r="H979" s="27" t="s">
        <v>101</v>
      </c>
      <c r="I979" s="27" t="s">
        <v>35</v>
      </c>
      <c r="J979" s="26">
        <v>42951</v>
      </c>
      <c r="K979" s="26">
        <v>42833</v>
      </c>
      <c r="L979" s="27">
        <f t="shared" si="92"/>
        <v>2</v>
      </c>
      <c r="M979" s="45">
        <v>594600</v>
      </c>
      <c r="N979" s="45">
        <v>2287200</v>
      </c>
      <c r="O979" s="27">
        <v>41</v>
      </c>
      <c r="P979" s="46">
        <f t="shared" si="93"/>
        <v>0.74003147953830006</v>
      </c>
      <c r="Q979" s="27">
        <v>41</v>
      </c>
      <c r="R979" s="44">
        <f t="shared" si="90"/>
        <v>93775200</v>
      </c>
      <c r="S979" s="29">
        <v>7.0000000000000007E-2</v>
      </c>
      <c r="T979" s="44">
        <f t="shared" si="94"/>
        <v>87210936</v>
      </c>
      <c r="U979" s="44">
        <f t="shared" si="95"/>
        <v>62832336</v>
      </c>
      <c r="V979" s="44"/>
    </row>
    <row r="980" spans="1:22" ht="14.5" x14ac:dyDescent="0.35">
      <c r="A980" s="47" t="str">
        <f t="shared" si="91"/>
        <v>SBY-AP-E1037-2018</v>
      </c>
      <c r="B980" s="26">
        <v>43383</v>
      </c>
      <c r="C980" s="42">
        <v>2018</v>
      </c>
      <c r="D980" s="27" t="s">
        <v>334</v>
      </c>
      <c r="E980" s="27" t="s">
        <v>41</v>
      </c>
      <c r="F980" s="42" t="str" cm="1">
        <f t="array" ref="F980">_xlfn.IFS(E980="Bandung","BDG",E980="Surabaya","SBY",E980="Jakarta","JKT")</f>
        <v>SBY</v>
      </c>
      <c r="G980" s="27" t="s">
        <v>83</v>
      </c>
      <c r="H980" s="27" t="s">
        <v>256</v>
      </c>
      <c r="I980" s="27" t="s">
        <v>35</v>
      </c>
      <c r="J980" s="26">
        <v>43385</v>
      </c>
      <c r="K980" s="26">
        <v>43444</v>
      </c>
      <c r="L980" s="27">
        <f t="shared" si="92"/>
        <v>61</v>
      </c>
      <c r="M980" s="45">
        <v>36750</v>
      </c>
      <c r="N980" s="45">
        <v>58350</v>
      </c>
      <c r="O980" s="27">
        <v>32</v>
      </c>
      <c r="P980" s="46">
        <f t="shared" si="93"/>
        <v>0.37017994858611825</v>
      </c>
      <c r="Q980" s="27">
        <v>32</v>
      </c>
      <c r="R980" s="44">
        <f t="shared" si="90"/>
        <v>1867200</v>
      </c>
      <c r="S980" s="29">
        <v>0.1</v>
      </c>
      <c r="T980" s="44">
        <f t="shared" si="94"/>
        <v>1680480</v>
      </c>
      <c r="U980" s="44">
        <f t="shared" si="95"/>
        <v>504480</v>
      </c>
      <c r="V980" s="44"/>
    </row>
    <row r="981" spans="1:22" ht="14.5" x14ac:dyDescent="0.35">
      <c r="A981" s="47" t="str">
        <f t="shared" si="91"/>
        <v>SBY-AS-E1036-2017</v>
      </c>
      <c r="B981" s="26">
        <v>42846</v>
      </c>
      <c r="C981" s="42">
        <v>2017</v>
      </c>
      <c r="D981" s="27" t="s">
        <v>341</v>
      </c>
      <c r="E981" s="27" t="s">
        <v>41</v>
      </c>
      <c r="F981" s="42" t="str" cm="1">
        <f t="array" ref="F981">_xlfn.IFS(E981="Bandung","BDG",E981="Surabaya","SBY",E981="Jakarta","JKT")</f>
        <v>SBY</v>
      </c>
      <c r="G981" s="27" t="s">
        <v>78</v>
      </c>
      <c r="H981" s="27" t="s">
        <v>243</v>
      </c>
      <c r="I981" s="27" t="s">
        <v>35</v>
      </c>
      <c r="J981" s="26">
        <v>42846</v>
      </c>
      <c r="K981" s="26">
        <v>42846</v>
      </c>
      <c r="L981" s="27">
        <f t="shared" si="92"/>
        <v>0</v>
      </c>
      <c r="M981" s="45">
        <v>1015950.0000000001</v>
      </c>
      <c r="N981" s="45">
        <v>2478000</v>
      </c>
      <c r="O981" s="27">
        <v>49</v>
      </c>
      <c r="P981" s="46">
        <f t="shared" si="93"/>
        <v>0.59001210653753022</v>
      </c>
      <c r="Q981" s="27">
        <v>49</v>
      </c>
      <c r="R981" s="44">
        <f t="shared" si="90"/>
        <v>121422000</v>
      </c>
      <c r="S981" s="29">
        <v>0.05</v>
      </c>
      <c r="T981" s="44">
        <f t="shared" si="94"/>
        <v>115350900</v>
      </c>
      <c r="U981" s="44">
        <f t="shared" si="95"/>
        <v>65569349.999999993</v>
      </c>
      <c r="V981" s="44"/>
    </row>
    <row r="982" spans="1:22" ht="14.5" x14ac:dyDescent="0.35">
      <c r="A982" s="47" t="str">
        <f t="shared" si="91"/>
        <v>SBY-AS-E1036-2019</v>
      </c>
      <c r="B982" s="26">
        <v>43754</v>
      </c>
      <c r="C982" s="42">
        <v>2019</v>
      </c>
      <c r="D982" s="27" t="s">
        <v>341</v>
      </c>
      <c r="E982" s="27" t="s">
        <v>41</v>
      </c>
      <c r="F982" s="42" t="str" cm="1">
        <f t="array" ref="F982">_xlfn.IFS(E982="Bandung","BDG",E982="Surabaya","SBY",E982="Jakarta","JKT")</f>
        <v>SBY</v>
      </c>
      <c r="G982" s="27" t="s">
        <v>78</v>
      </c>
      <c r="H982" s="27" t="s">
        <v>414</v>
      </c>
      <c r="I982" s="27" t="s">
        <v>39</v>
      </c>
      <c r="J982" s="26" t="s">
        <v>1754</v>
      </c>
      <c r="K982" s="26">
        <v>43756</v>
      </c>
      <c r="L982" s="27">
        <f t="shared" si="92"/>
        <v>2</v>
      </c>
      <c r="M982" s="45">
        <v>13050</v>
      </c>
      <c r="N982" s="45">
        <v>27150</v>
      </c>
      <c r="O982" s="27">
        <v>50</v>
      </c>
      <c r="P982" s="46">
        <f t="shared" si="93"/>
        <v>0.51933701657458564</v>
      </c>
      <c r="Q982" s="27">
        <v>50</v>
      </c>
      <c r="R982" s="44">
        <f t="shared" si="90"/>
        <v>1357500</v>
      </c>
      <c r="S982" s="29">
        <v>0.08</v>
      </c>
      <c r="T982" s="44">
        <f t="shared" si="94"/>
        <v>1248900</v>
      </c>
      <c r="U982" s="44">
        <f t="shared" si="95"/>
        <v>596400</v>
      </c>
      <c r="V982" s="44"/>
    </row>
    <row r="983" spans="1:22" ht="14.5" x14ac:dyDescent="0.35">
      <c r="A983" s="47" t="str">
        <f t="shared" si="91"/>
        <v>SBY-AS-E1038-2018</v>
      </c>
      <c r="B983" s="26">
        <v>43397</v>
      </c>
      <c r="C983" s="42">
        <v>2018</v>
      </c>
      <c r="D983" s="27" t="s">
        <v>604</v>
      </c>
      <c r="E983" s="27" t="s">
        <v>41</v>
      </c>
      <c r="F983" s="42" t="str" cm="1">
        <f t="array" ref="F983">_xlfn.IFS(E983="Bandung","BDG",E983="Surabaya","SBY",E983="Jakarta","JKT")</f>
        <v>SBY</v>
      </c>
      <c r="G983" s="27" t="s">
        <v>98</v>
      </c>
      <c r="H983" s="27" t="s">
        <v>295</v>
      </c>
      <c r="I983" s="27" t="s">
        <v>35</v>
      </c>
      <c r="J983" s="26">
        <v>43399</v>
      </c>
      <c r="K983" s="26">
        <v>43399</v>
      </c>
      <c r="L983" s="27">
        <f t="shared" si="92"/>
        <v>2</v>
      </c>
      <c r="M983" s="45">
        <v>165600</v>
      </c>
      <c r="N983" s="45">
        <v>254700</v>
      </c>
      <c r="O983" s="27">
        <v>1</v>
      </c>
      <c r="P983" s="46">
        <f t="shared" si="93"/>
        <v>0.34982332155477031</v>
      </c>
      <c r="Q983" s="27">
        <v>1</v>
      </c>
      <c r="R983" s="44">
        <f t="shared" si="90"/>
        <v>254700</v>
      </c>
      <c r="S983" s="29">
        <v>0.03</v>
      </c>
      <c r="T983" s="44">
        <f t="shared" si="94"/>
        <v>247059</v>
      </c>
      <c r="U983" s="44">
        <f t="shared" si="95"/>
        <v>81459</v>
      </c>
      <c r="V983" s="44"/>
    </row>
    <row r="984" spans="1:22" ht="14.5" x14ac:dyDescent="0.35">
      <c r="A984" s="47" t="str">
        <f t="shared" si="91"/>
        <v>SBY-AS-E1038-2018</v>
      </c>
      <c r="B984" s="26">
        <v>43438</v>
      </c>
      <c r="C984" s="42">
        <v>2018</v>
      </c>
      <c r="D984" s="27" t="s">
        <v>604</v>
      </c>
      <c r="E984" s="27" t="s">
        <v>41</v>
      </c>
      <c r="F984" s="42" t="str" cm="1">
        <f t="array" ref="F984">_xlfn.IFS(E984="Bandung","BDG",E984="Surabaya","SBY",E984="Jakarta","JKT")</f>
        <v>SBY</v>
      </c>
      <c r="G984" s="27" t="s">
        <v>98</v>
      </c>
      <c r="H984" s="27" t="s">
        <v>105</v>
      </c>
      <c r="I984" s="27" t="s">
        <v>35</v>
      </c>
      <c r="J984" s="26">
        <v>43355</v>
      </c>
      <c r="K984" s="26">
        <v>43443</v>
      </c>
      <c r="L984" s="27">
        <f t="shared" si="92"/>
        <v>5</v>
      </c>
      <c r="M984" s="45">
        <v>151050</v>
      </c>
      <c r="N984" s="45">
        <v>239700</v>
      </c>
      <c r="O984" s="27">
        <v>6</v>
      </c>
      <c r="P984" s="46">
        <f t="shared" si="93"/>
        <v>0.36983729662077597</v>
      </c>
      <c r="Q984" s="27">
        <v>6</v>
      </c>
      <c r="R984" s="44">
        <f t="shared" si="90"/>
        <v>1438200</v>
      </c>
      <c r="S984" s="29">
        <v>0.1</v>
      </c>
      <c r="T984" s="44">
        <f t="shared" si="94"/>
        <v>1294380</v>
      </c>
      <c r="U984" s="44">
        <f t="shared" si="95"/>
        <v>388080</v>
      </c>
      <c r="V984" s="44"/>
    </row>
    <row r="985" spans="1:22" ht="14.5" x14ac:dyDescent="0.35">
      <c r="A985" s="47" t="str">
        <f t="shared" si="91"/>
        <v>SBY-AS-E1038-2019</v>
      </c>
      <c r="B985" s="26">
        <v>43598</v>
      </c>
      <c r="C985" s="42">
        <v>2019</v>
      </c>
      <c r="D985" s="27" t="s">
        <v>604</v>
      </c>
      <c r="E985" s="27" t="s">
        <v>41</v>
      </c>
      <c r="F985" s="42" t="str" cm="1">
        <f t="array" ref="F985">_xlfn.IFS(E985="Bandung","BDG",E985="Surabaya","SBY",E985="Jakarta","JKT")</f>
        <v>SBY</v>
      </c>
      <c r="G985" s="27" t="s">
        <v>98</v>
      </c>
      <c r="H985" s="27" t="s">
        <v>227</v>
      </c>
      <c r="I985" s="27" t="s">
        <v>39</v>
      </c>
      <c r="J985" s="26" t="s">
        <v>1727</v>
      </c>
      <c r="K985" s="26">
        <v>43600</v>
      </c>
      <c r="L985" s="27">
        <f t="shared" si="92"/>
        <v>2</v>
      </c>
      <c r="M985" s="45">
        <v>22950</v>
      </c>
      <c r="N985" s="45">
        <v>41700</v>
      </c>
      <c r="O985" s="27">
        <v>38</v>
      </c>
      <c r="P985" s="46">
        <f t="shared" si="93"/>
        <v>0.44964028776978415</v>
      </c>
      <c r="Q985" s="27">
        <v>38</v>
      </c>
      <c r="R985" s="44">
        <f t="shared" si="90"/>
        <v>1584600</v>
      </c>
      <c r="S985" s="29">
        <v>0</v>
      </c>
      <c r="T985" s="44">
        <f t="shared" si="94"/>
        <v>1584600</v>
      </c>
      <c r="U985" s="44">
        <f t="shared" si="95"/>
        <v>712500</v>
      </c>
      <c r="V985" s="44"/>
    </row>
    <row r="986" spans="1:22" ht="14.5" x14ac:dyDescent="0.35">
      <c r="A986" s="47" t="str">
        <f t="shared" si="91"/>
        <v>SBY-AA-E1037-2018</v>
      </c>
      <c r="B986" s="26">
        <v>43199</v>
      </c>
      <c r="C986" s="42">
        <v>2018</v>
      </c>
      <c r="D986" s="27" t="s">
        <v>520</v>
      </c>
      <c r="E986" s="27" t="s">
        <v>41</v>
      </c>
      <c r="F986" s="42" t="str" cm="1">
        <f t="array" ref="F986">_xlfn.IFS(E986="Bandung","BDG",E986="Surabaya","SBY",E986="Jakarta","JKT")</f>
        <v>SBY</v>
      </c>
      <c r="G986" s="27" t="s">
        <v>83</v>
      </c>
      <c r="H986" s="27" t="s">
        <v>87</v>
      </c>
      <c r="I986" s="27" t="s">
        <v>35</v>
      </c>
      <c r="J986" s="26">
        <v>43202</v>
      </c>
      <c r="K986" s="26">
        <v>43438</v>
      </c>
      <c r="L986" s="27">
        <f t="shared" si="92"/>
        <v>239</v>
      </c>
      <c r="M986" s="45">
        <v>52800</v>
      </c>
      <c r="N986" s="45">
        <v>85200</v>
      </c>
      <c r="O986" s="27">
        <v>42</v>
      </c>
      <c r="P986" s="46">
        <f t="shared" si="93"/>
        <v>0.38028169014084506</v>
      </c>
      <c r="Q986" s="27">
        <v>42</v>
      </c>
      <c r="R986" s="44">
        <f t="shared" si="90"/>
        <v>3578400</v>
      </c>
      <c r="S986" s="29">
        <v>0.05</v>
      </c>
      <c r="T986" s="44">
        <f t="shared" si="94"/>
        <v>3399480</v>
      </c>
      <c r="U986" s="44">
        <f t="shared" si="95"/>
        <v>1181880</v>
      </c>
      <c r="V986" s="44"/>
    </row>
    <row r="987" spans="1:22" ht="14.5" x14ac:dyDescent="0.35">
      <c r="A987" s="47" t="str">
        <f t="shared" si="91"/>
        <v>SBY-AH-E1032-2016</v>
      </c>
      <c r="B987" s="26">
        <v>42531</v>
      </c>
      <c r="C987" s="42">
        <v>2016</v>
      </c>
      <c r="D987" s="27" t="s">
        <v>66</v>
      </c>
      <c r="E987" s="27" t="s">
        <v>41</v>
      </c>
      <c r="F987" s="42" t="str" cm="1">
        <f t="array" ref="F987">_xlfn.IFS(E987="Bandung","BDG",E987="Surabaya","SBY",E987="Jakarta","JKT")</f>
        <v>SBY</v>
      </c>
      <c r="G987" s="27" t="s">
        <v>53</v>
      </c>
      <c r="H987" s="27" t="s">
        <v>67</v>
      </c>
      <c r="I987" s="27" t="s">
        <v>35</v>
      </c>
      <c r="J987" s="26">
        <v>42531</v>
      </c>
      <c r="K987" s="26">
        <v>42649</v>
      </c>
      <c r="L987" s="27">
        <f t="shared" si="92"/>
        <v>118</v>
      </c>
      <c r="M987" s="45">
        <v>540300</v>
      </c>
      <c r="N987" s="45">
        <v>871500</v>
      </c>
      <c r="O987" s="27">
        <v>50</v>
      </c>
      <c r="P987" s="46">
        <f t="shared" si="93"/>
        <v>0.38003442340791738</v>
      </c>
      <c r="Q987" s="27">
        <v>50</v>
      </c>
      <c r="R987" s="44">
        <f t="shared" si="90"/>
        <v>43575000</v>
      </c>
      <c r="S987" s="29">
        <v>0.05</v>
      </c>
      <c r="T987" s="44">
        <f t="shared" si="94"/>
        <v>41396250</v>
      </c>
      <c r="U987" s="44">
        <f t="shared" si="95"/>
        <v>14381250</v>
      </c>
      <c r="V987" s="44"/>
    </row>
    <row r="988" spans="1:22" ht="14.5" x14ac:dyDescent="0.35">
      <c r="A988" s="47" t="str">
        <f t="shared" si="91"/>
        <v>SBY-AH-E1032-2019</v>
      </c>
      <c r="B988" s="26">
        <v>43646</v>
      </c>
      <c r="C988" s="42">
        <v>2019</v>
      </c>
      <c r="D988" s="27" t="s">
        <v>66</v>
      </c>
      <c r="E988" s="27" t="s">
        <v>41</v>
      </c>
      <c r="F988" s="42" t="str" cm="1">
        <f t="array" ref="F988">_xlfn.IFS(E988="Bandung","BDG",E988="Surabaya","SBY",E988="Jakarta","JKT")</f>
        <v>SBY</v>
      </c>
      <c r="G988" s="27" t="s">
        <v>53</v>
      </c>
      <c r="H988" s="27" t="s">
        <v>125</v>
      </c>
      <c r="I988" s="27" t="s">
        <v>39</v>
      </c>
      <c r="J988" s="26">
        <v>43503</v>
      </c>
      <c r="K988" s="26">
        <v>43648</v>
      </c>
      <c r="L988" s="27">
        <f t="shared" si="92"/>
        <v>2</v>
      </c>
      <c r="M988" s="45">
        <v>323400</v>
      </c>
      <c r="N988" s="45">
        <v>548250</v>
      </c>
      <c r="O988" s="27">
        <v>2</v>
      </c>
      <c r="P988" s="46">
        <f t="shared" si="93"/>
        <v>0.41012311901504789</v>
      </c>
      <c r="Q988" s="27">
        <v>2</v>
      </c>
      <c r="R988" s="44">
        <f t="shared" si="90"/>
        <v>1096500</v>
      </c>
      <c r="S988" s="29">
        <v>0.03</v>
      </c>
      <c r="T988" s="44">
        <f t="shared" si="94"/>
        <v>1063605</v>
      </c>
      <c r="U988" s="44">
        <f t="shared" si="95"/>
        <v>416805</v>
      </c>
      <c r="V988" s="44"/>
    </row>
    <row r="989" spans="1:22" ht="14.5" x14ac:dyDescent="0.35">
      <c r="A989" s="47" t="str">
        <f t="shared" si="91"/>
        <v>JKT-AM-E1028-2016</v>
      </c>
      <c r="B989" s="26">
        <v>42695</v>
      </c>
      <c r="C989" s="42">
        <v>2016</v>
      </c>
      <c r="D989" s="27" t="s">
        <v>235</v>
      </c>
      <c r="E989" s="27" t="s">
        <v>32</v>
      </c>
      <c r="F989" s="42" t="str" cm="1">
        <f t="array" ref="F989">_xlfn.IFS(E989="Bandung","BDG",E989="Surabaya","SBY",E989="Jakarta","JKT")</f>
        <v>JKT</v>
      </c>
      <c r="G989" s="27" t="s">
        <v>33</v>
      </c>
      <c r="H989" s="27" t="s">
        <v>209</v>
      </c>
      <c r="I989" s="27" t="s">
        <v>236</v>
      </c>
      <c r="J989" s="26" t="s">
        <v>1580</v>
      </c>
      <c r="K989" s="26">
        <v>42699</v>
      </c>
      <c r="L989" s="27">
        <f t="shared" si="92"/>
        <v>4</v>
      </c>
      <c r="M989" s="45">
        <v>3240000</v>
      </c>
      <c r="N989" s="45">
        <v>6749850</v>
      </c>
      <c r="O989" s="27">
        <v>45</v>
      </c>
      <c r="P989" s="46">
        <f t="shared" si="93"/>
        <v>0.51998933309629103</v>
      </c>
      <c r="Q989" s="27">
        <v>40</v>
      </c>
      <c r="R989" s="44">
        <f t="shared" si="90"/>
        <v>269994000</v>
      </c>
      <c r="S989" s="29">
        <v>0.04</v>
      </c>
      <c r="T989" s="44">
        <f t="shared" si="94"/>
        <v>259194240</v>
      </c>
      <c r="U989" s="44">
        <f t="shared" si="95"/>
        <v>129594240</v>
      </c>
      <c r="V989" s="44"/>
    </row>
    <row r="990" spans="1:22" ht="14.5" x14ac:dyDescent="0.35">
      <c r="A990" s="47" t="str">
        <f t="shared" si="91"/>
        <v>JKT-AM-E1028-2018</v>
      </c>
      <c r="B990" s="26">
        <v>43284</v>
      </c>
      <c r="C990" s="42">
        <v>2018</v>
      </c>
      <c r="D990" s="27" t="s">
        <v>235</v>
      </c>
      <c r="E990" s="27" t="s">
        <v>32</v>
      </c>
      <c r="F990" s="42" t="str" cm="1">
        <f t="array" ref="F990">_xlfn.IFS(E990="Bandung","BDG",E990="Surabaya","SBY",E990="Jakarta","JKT")</f>
        <v>JKT</v>
      </c>
      <c r="G990" s="27" t="s">
        <v>33</v>
      </c>
      <c r="H990" s="27" t="s">
        <v>130</v>
      </c>
      <c r="I990" s="27" t="s">
        <v>39</v>
      </c>
      <c r="J990" s="26">
        <v>43197</v>
      </c>
      <c r="K990" s="26">
        <v>43285</v>
      </c>
      <c r="L990" s="27">
        <f t="shared" si="92"/>
        <v>1</v>
      </c>
      <c r="M990" s="45">
        <v>56250</v>
      </c>
      <c r="N990" s="45">
        <v>106200</v>
      </c>
      <c r="O990" s="27">
        <v>31</v>
      </c>
      <c r="P990" s="46">
        <f t="shared" si="93"/>
        <v>0.47033898305084748</v>
      </c>
      <c r="Q990" s="27">
        <v>31</v>
      </c>
      <c r="R990" s="44">
        <f t="shared" si="90"/>
        <v>3292200</v>
      </c>
      <c r="S990" s="29">
        <v>0.01</v>
      </c>
      <c r="T990" s="44">
        <f t="shared" si="94"/>
        <v>3259278</v>
      </c>
      <c r="U990" s="44">
        <f t="shared" si="95"/>
        <v>1515528</v>
      </c>
      <c r="V990" s="44"/>
    </row>
    <row r="991" spans="1:22" ht="14.5" x14ac:dyDescent="0.35">
      <c r="A991" s="47" t="str">
        <f t="shared" si="91"/>
        <v>JKT-AM-E1028-2019</v>
      </c>
      <c r="B991" s="26">
        <v>43617</v>
      </c>
      <c r="C991" s="42">
        <v>2019</v>
      </c>
      <c r="D991" s="27" t="s">
        <v>235</v>
      </c>
      <c r="E991" s="27" t="s">
        <v>32</v>
      </c>
      <c r="F991" s="42" t="str" cm="1">
        <f t="array" ref="F991">_xlfn.IFS(E991="Bandung","BDG",E991="Surabaya","SBY",E991="Jakarta","JKT")</f>
        <v>JKT</v>
      </c>
      <c r="G991" s="27" t="s">
        <v>33</v>
      </c>
      <c r="H991" s="27" t="s">
        <v>178</v>
      </c>
      <c r="I991" s="27" t="s">
        <v>39</v>
      </c>
      <c r="J991" s="26">
        <v>43502</v>
      </c>
      <c r="K991" s="26">
        <v>43618</v>
      </c>
      <c r="L991" s="27">
        <f t="shared" si="92"/>
        <v>1</v>
      </c>
      <c r="M991" s="45">
        <v>24000</v>
      </c>
      <c r="N991" s="45">
        <v>39300</v>
      </c>
      <c r="O991" s="27">
        <v>48</v>
      </c>
      <c r="P991" s="46">
        <f t="shared" si="93"/>
        <v>0.38931297709923662</v>
      </c>
      <c r="Q991" s="27">
        <v>48</v>
      </c>
      <c r="R991" s="44">
        <f t="shared" si="90"/>
        <v>1886400</v>
      </c>
      <c r="S991" s="29">
        <v>0.1</v>
      </c>
      <c r="T991" s="44">
        <f t="shared" si="94"/>
        <v>1697760</v>
      </c>
      <c r="U991" s="44">
        <f t="shared" si="95"/>
        <v>545760</v>
      </c>
      <c r="V991" s="44"/>
    </row>
    <row r="992" spans="1:22" ht="14.5" x14ac:dyDescent="0.35">
      <c r="A992" s="47" t="str">
        <f t="shared" si="91"/>
        <v>JKT-AM-E1028-2020</v>
      </c>
      <c r="B992" s="26">
        <v>43854</v>
      </c>
      <c r="C992" s="42">
        <v>2020</v>
      </c>
      <c r="D992" s="27" t="s">
        <v>235</v>
      </c>
      <c r="E992" s="27" t="s">
        <v>32</v>
      </c>
      <c r="F992" s="42" t="str" cm="1">
        <f t="array" ref="F992">_xlfn.IFS(E992="Bandung","BDG",E992="Surabaya","SBY",E992="Jakarta","JKT")</f>
        <v>JKT</v>
      </c>
      <c r="G992" s="27" t="s">
        <v>33</v>
      </c>
      <c r="H992" s="27" t="s">
        <v>343</v>
      </c>
      <c r="I992" s="27" t="s">
        <v>39</v>
      </c>
      <c r="J992" s="26">
        <v>43858</v>
      </c>
      <c r="K992" s="26">
        <v>43858</v>
      </c>
      <c r="L992" s="27">
        <f t="shared" si="92"/>
        <v>4</v>
      </c>
      <c r="M992" s="45">
        <v>34650</v>
      </c>
      <c r="N992" s="45">
        <v>56700</v>
      </c>
      <c r="O992" s="27">
        <v>22</v>
      </c>
      <c r="P992" s="46">
        <f t="shared" si="93"/>
        <v>0.3888888888888889</v>
      </c>
      <c r="Q992" s="27">
        <v>22</v>
      </c>
      <c r="R992" s="44">
        <f t="shared" si="90"/>
        <v>1247400</v>
      </c>
      <c r="S992" s="29">
        <v>0.1</v>
      </c>
      <c r="T992" s="44">
        <f t="shared" si="94"/>
        <v>1122660</v>
      </c>
      <c r="U992" s="44">
        <f t="shared" si="95"/>
        <v>360360</v>
      </c>
      <c r="V992" s="44"/>
    </row>
    <row r="993" spans="1:22" ht="14.5" x14ac:dyDescent="0.35">
      <c r="A993" s="47" t="str">
        <f t="shared" si="91"/>
        <v>JKT-AM-E1028-2020</v>
      </c>
      <c r="B993" s="26">
        <v>43894</v>
      </c>
      <c r="C993" s="42">
        <v>2020</v>
      </c>
      <c r="D993" s="27" t="s">
        <v>235</v>
      </c>
      <c r="E993" s="27" t="s">
        <v>32</v>
      </c>
      <c r="F993" s="42" t="str" cm="1">
        <f t="array" ref="F993">_xlfn.IFS(E993="Bandung","BDG",E993="Surabaya","SBY",E993="Jakarta","JKT")</f>
        <v>JKT</v>
      </c>
      <c r="G993" s="27" t="s">
        <v>33</v>
      </c>
      <c r="H993" s="27" t="s">
        <v>400</v>
      </c>
      <c r="I993" s="27" t="s">
        <v>39</v>
      </c>
      <c r="J993" s="26">
        <v>43895</v>
      </c>
      <c r="K993" s="26">
        <v>43954</v>
      </c>
      <c r="L993" s="27">
        <f t="shared" si="92"/>
        <v>60</v>
      </c>
      <c r="M993" s="45">
        <v>15750</v>
      </c>
      <c r="N993" s="45">
        <v>29250</v>
      </c>
      <c r="O993" s="27">
        <v>20</v>
      </c>
      <c r="P993" s="46">
        <f t="shared" si="93"/>
        <v>0.46153846153846156</v>
      </c>
      <c r="Q993" s="27">
        <v>20</v>
      </c>
      <c r="R993" s="44">
        <f t="shared" si="90"/>
        <v>585000</v>
      </c>
      <c r="S993" s="29">
        <v>0.06</v>
      </c>
      <c r="T993" s="44">
        <f t="shared" si="94"/>
        <v>549900</v>
      </c>
      <c r="U993" s="44">
        <f t="shared" si="95"/>
        <v>234900</v>
      </c>
      <c r="V993" s="44"/>
    </row>
    <row r="994" spans="1:22" ht="14.5" x14ac:dyDescent="0.35">
      <c r="A994" s="47" t="str">
        <f t="shared" si="91"/>
        <v>SBY-AW-E1040-2018</v>
      </c>
      <c r="B994" s="26">
        <v>43365</v>
      </c>
      <c r="C994" s="42">
        <v>2018</v>
      </c>
      <c r="D994" s="27" t="s">
        <v>592</v>
      </c>
      <c r="E994" s="27" t="s">
        <v>41</v>
      </c>
      <c r="F994" s="42" t="str" cm="1">
        <f t="array" ref="F994">_xlfn.IFS(E994="Bandung","BDG",E994="Surabaya","SBY",E994="Jakarta","JKT")</f>
        <v>SBY</v>
      </c>
      <c r="G994" s="27" t="s">
        <v>160</v>
      </c>
      <c r="H994" s="27" t="s">
        <v>54</v>
      </c>
      <c r="I994" s="27" t="s">
        <v>35</v>
      </c>
      <c r="J994" s="26">
        <v>43367</v>
      </c>
      <c r="K994" s="26">
        <v>43367</v>
      </c>
      <c r="L994" s="27">
        <f t="shared" si="92"/>
        <v>2</v>
      </c>
      <c r="M994" s="45">
        <v>1490850</v>
      </c>
      <c r="N994" s="45">
        <v>2443950</v>
      </c>
      <c r="O994" s="27">
        <v>36</v>
      </c>
      <c r="P994" s="46">
        <f t="shared" si="93"/>
        <v>0.38998342846621248</v>
      </c>
      <c r="Q994" s="27">
        <v>36</v>
      </c>
      <c r="R994" s="44">
        <f t="shared" si="90"/>
        <v>87982200</v>
      </c>
      <c r="S994" s="29">
        <v>0.09</v>
      </c>
      <c r="T994" s="44">
        <f t="shared" si="94"/>
        <v>80063802</v>
      </c>
      <c r="U994" s="44">
        <f t="shared" si="95"/>
        <v>26393202</v>
      </c>
      <c r="V994" s="44"/>
    </row>
    <row r="995" spans="1:22" ht="14.5" x14ac:dyDescent="0.35">
      <c r="A995" s="47" t="str">
        <f t="shared" si="91"/>
        <v>SBY-AY-E1031-2019</v>
      </c>
      <c r="B995" s="26">
        <v>43616</v>
      </c>
      <c r="C995" s="42">
        <v>2019</v>
      </c>
      <c r="D995" s="27" t="s">
        <v>659</v>
      </c>
      <c r="E995" s="27" t="s">
        <v>41</v>
      </c>
      <c r="F995" s="42" t="str" cm="1">
        <f t="array" ref="F995">_xlfn.IFS(E995="Bandung","BDG",E995="Surabaya","SBY",E995="Jakarta","JKT")</f>
        <v>SBY</v>
      </c>
      <c r="G995" s="27" t="s">
        <v>48</v>
      </c>
      <c r="H995" s="27" t="s">
        <v>364</v>
      </c>
      <c r="I995" s="27" t="s">
        <v>39</v>
      </c>
      <c r="J995" s="26">
        <v>43621</v>
      </c>
      <c r="K995" s="26">
        <v>43591</v>
      </c>
      <c r="L995" s="27">
        <f t="shared" si="92"/>
        <v>-25</v>
      </c>
      <c r="M995" s="45">
        <v>38850</v>
      </c>
      <c r="N995" s="45">
        <v>59700</v>
      </c>
      <c r="O995" s="27">
        <v>11</v>
      </c>
      <c r="P995" s="46">
        <f t="shared" si="93"/>
        <v>0.34924623115577891</v>
      </c>
      <c r="Q995" s="27">
        <v>11</v>
      </c>
      <c r="R995" s="44">
        <f t="shared" si="90"/>
        <v>656700</v>
      </c>
      <c r="S995" s="29">
        <v>0.01</v>
      </c>
      <c r="T995" s="44">
        <f t="shared" si="94"/>
        <v>650133</v>
      </c>
      <c r="U995" s="44">
        <f t="shared" si="95"/>
        <v>222783</v>
      </c>
      <c r="V995" s="44"/>
    </row>
    <row r="996" spans="1:22" ht="14.5" x14ac:dyDescent="0.35">
      <c r="A996" s="47" t="str">
        <f t="shared" si="91"/>
        <v>SBY-AU-E1039-2020</v>
      </c>
      <c r="B996" s="26">
        <v>43858</v>
      </c>
      <c r="C996" s="42">
        <v>2020</v>
      </c>
      <c r="D996" s="27" t="s">
        <v>711</v>
      </c>
      <c r="E996" s="27" t="s">
        <v>41</v>
      </c>
      <c r="F996" s="42" t="str" cm="1">
        <f t="array" ref="F996">_xlfn.IFS(E996="Bandung","BDG",E996="Surabaya","SBY",E996="Jakarta","JKT")</f>
        <v>SBY</v>
      </c>
      <c r="G996" s="27" t="s">
        <v>103</v>
      </c>
      <c r="H996" s="27" t="s">
        <v>156</v>
      </c>
      <c r="I996" s="27" t="s">
        <v>39</v>
      </c>
      <c r="J996" s="26">
        <v>43832</v>
      </c>
      <c r="K996" s="26">
        <v>43862</v>
      </c>
      <c r="L996" s="27">
        <f t="shared" si="92"/>
        <v>4</v>
      </c>
      <c r="M996" s="45">
        <v>52200</v>
      </c>
      <c r="N996" s="45">
        <v>81450</v>
      </c>
      <c r="O996" s="27">
        <v>11</v>
      </c>
      <c r="P996" s="46">
        <f t="shared" si="93"/>
        <v>0.35911602209944754</v>
      </c>
      <c r="Q996" s="27">
        <v>11</v>
      </c>
      <c r="R996" s="44">
        <f t="shared" si="90"/>
        <v>895950</v>
      </c>
      <c r="S996" s="29">
        <v>0</v>
      </c>
      <c r="T996" s="44">
        <f t="shared" si="94"/>
        <v>895950</v>
      </c>
      <c r="U996" s="44">
        <f t="shared" si="95"/>
        <v>321750</v>
      </c>
      <c r="V996" s="44"/>
    </row>
    <row r="997" spans="1:22" ht="14.5" x14ac:dyDescent="0.35">
      <c r="A997" s="47" t="str">
        <f t="shared" si="91"/>
        <v>SBY-AU-E1039-2020</v>
      </c>
      <c r="B997" s="26">
        <v>43858</v>
      </c>
      <c r="C997" s="42">
        <v>2020</v>
      </c>
      <c r="D997" s="27" t="s">
        <v>711</v>
      </c>
      <c r="E997" s="27" t="s">
        <v>41</v>
      </c>
      <c r="F997" s="42" t="str" cm="1">
        <f t="array" ref="F997">_xlfn.IFS(E997="Bandung","BDG",E997="Surabaya","SBY",E997="Jakarta","JKT")</f>
        <v>SBY</v>
      </c>
      <c r="G997" s="27" t="s">
        <v>103</v>
      </c>
      <c r="H997" s="27" t="s">
        <v>443</v>
      </c>
      <c r="I997" s="27" t="s">
        <v>39</v>
      </c>
      <c r="J997" s="26">
        <v>43858</v>
      </c>
      <c r="K997" s="26">
        <v>43858</v>
      </c>
      <c r="L997" s="27">
        <f t="shared" si="92"/>
        <v>0</v>
      </c>
      <c r="M997" s="45">
        <v>22950</v>
      </c>
      <c r="N997" s="45">
        <v>37050</v>
      </c>
      <c r="O997" s="27">
        <v>45</v>
      </c>
      <c r="P997" s="46">
        <f t="shared" si="93"/>
        <v>0.38056680161943318</v>
      </c>
      <c r="Q997" s="27">
        <v>45</v>
      </c>
      <c r="R997" s="44">
        <f t="shared" si="90"/>
        <v>1667250</v>
      </c>
      <c r="S997" s="29">
        <v>7.0000000000000007E-2</v>
      </c>
      <c r="T997" s="44">
        <f t="shared" si="94"/>
        <v>1550542.5</v>
      </c>
      <c r="U997" s="44">
        <f t="shared" si="95"/>
        <v>517792.5</v>
      </c>
      <c r="V997" s="44"/>
    </row>
    <row r="998" spans="1:22" ht="14.5" x14ac:dyDescent="0.35">
      <c r="A998" s="47" t="str">
        <f t="shared" si="91"/>
        <v>JKT-AN-E1029-2016</v>
      </c>
      <c r="B998" s="26">
        <v>42516</v>
      </c>
      <c r="C998" s="42">
        <v>2016</v>
      </c>
      <c r="D998" s="27" t="s">
        <v>36</v>
      </c>
      <c r="E998" s="27" t="s">
        <v>32</v>
      </c>
      <c r="F998" s="42" t="str" cm="1">
        <f t="array" ref="F998">_xlfn.IFS(E998="Bandung","BDG",E998="Surabaya","SBY",E998="Jakarta","JKT")</f>
        <v>JKT</v>
      </c>
      <c r="G998" s="27" t="s">
        <v>37</v>
      </c>
      <c r="H998" s="27" t="s">
        <v>38</v>
      </c>
      <c r="I998" s="27" t="s">
        <v>39</v>
      </c>
      <c r="J998" s="26">
        <v>42517</v>
      </c>
      <c r="K998" s="26">
        <v>42517</v>
      </c>
      <c r="L998" s="27">
        <f t="shared" si="92"/>
        <v>1</v>
      </c>
      <c r="M998" s="45">
        <v>35850</v>
      </c>
      <c r="N998" s="45">
        <v>63900</v>
      </c>
      <c r="O998" s="27">
        <v>29</v>
      </c>
      <c r="P998" s="46">
        <f t="shared" si="93"/>
        <v>0.43896713615023475</v>
      </c>
      <c r="Q998" s="27">
        <v>29</v>
      </c>
      <c r="R998" s="44">
        <f t="shared" si="90"/>
        <v>1853100</v>
      </c>
      <c r="S998" s="29">
        <v>0.03</v>
      </c>
      <c r="T998" s="44">
        <f t="shared" si="94"/>
        <v>1797507</v>
      </c>
      <c r="U998" s="44">
        <f t="shared" si="95"/>
        <v>757857</v>
      </c>
      <c r="V998" s="44"/>
    </row>
    <row r="999" spans="1:22" ht="14.5" x14ac:dyDescent="0.35">
      <c r="A999" s="47" t="str">
        <f t="shared" si="91"/>
        <v>JKT-AN-E1029-2016</v>
      </c>
      <c r="B999" s="26">
        <v>42607</v>
      </c>
      <c r="C999" s="42">
        <v>2016</v>
      </c>
      <c r="D999" s="27" t="s">
        <v>36</v>
      </c>
      <c r="E999" s="27" t="s">
        <v>32</v>
      </c>
      <c r="F999" s="42" t="str" cm="1">
        <f t="array" ref="F999">_xlfn.IFS(E999="Bandung","BDG",E999="Surabaya","SBY",E999="Jakarta","JKT")</f>
        <v>JKT</v>
      </c>
      <c r="G999" s="27" t="s">
        <v>37</v>
      </c>
      <c r="H999" s="27" t="s">
        <v>92</v>
      </c>
      <c r="I999" s="27" t="s">
        <v>39</v>
      </c>
      <c r="J999" s="26">
        <v>42609</v>
      </c>
      <c r="K999" s="26">
        <v>42609</v>
      </c>
      <c r="L999" s="27">
        <f t="shared" si="92"/>
        <v>2</v>
      </c>
      <c r="M999" s="45">
        <v>37800</v>
      </c>
      <c r="N999" s="45">
        <v>60000</v>
      </c>
      <c r="O999" s="27">
        <v>19</v>
      </c>
      <c r="P999" s="46">
        <f t="shared" si="93"/>
        <v>0.37</v>
      </c>
      <c r="Q999" s="27">
        <v>19</v>
      </c>
      <c r="R999" s="44">
        <f t="shared" si="90"/>
        <v>1140000</v>
      </c>
      <c r="S999" s="29">
        <v>0.09</v>
      </c>
      <c r="T999" s="44">
        <f t="shared" si="94"/>
        <v>1037400</v>
      </c>
      <c r="U999" s="44">
        <f t="shared" si="95"/>
        <v>319200</v>
      </c>
      <c r="V999" s="44"/>
    </row>
    <row r="1000" spans="1:22" ht="14.5" x14ac:dyDescent="0.35">
      <c r="A1000" s="47" t="str">
        <f t="shared" si="91"/>
        <v>SBY-AW-E1038-2018</v>
      </c>
      <c r="B1000" s="26">
        <v>43181</v>
      </c>
      <c r="C1000" s="42">
        <v>2018</v>
      </c>
      <c r="D1000" s="27" t="s">
        <v>515</v>
      </c>
      <c r="E1000" s="27" t="s">
        <v>41</v>
      </c>
      <c r="F1000" s="42" t="str" cm="1">
        <f t="array" ref="F1000">_xlfn.IFS(E1000="Bandung","BDG",E1000="Surabaya","SBY",E1000="Jakarta","JKT")</f>
        <v>SBY</v>
      </c>
      <c r="G1000" s="27" t="s">
        <v>98</v>
      </c>
      <c r="H1000" s="27" t="s">
        <v>168</v>
      </c>
      <c r="I1000" s="27" t="s">
        <v>35</v>
      </c>
      <c r="J1000" s="26">
        <v>43183</v>
      </c>
      <c r="K1000" s="26">
        <v>43183</v>
      </c>
      <c r="L1000" s="27">
        <f t="shared" si="92"/>
        <v>2</v>
      </c>
      <c r="M1000" s="45">
        <v>2682450</v>
      </c>
      <c r="N1000" s="45">
        <v>6238200</v>
      </c>
      <c r="O1000" s="27">
        <v>4</v>
      </c>
      <c r="P1000" s="46">
        <f t="shared" si="93"/>
        <v>0.56999615273636628</v>
      </c>
      <c r="Q1000" s="27">
        <v>4</v>
      </c>
      <c r="R1000" s="44">
        <f t="shared" si="90"/>
        <v>24952800</v>
      </c>
      <c r="S1000" s="29">
        <v>0.03</v>
      </c>
      <c r="T1000" s="44">
        <f t="shared" si="94"/>
        <v>24204216</v>
      </c>
      <c r="U1000" s="44">
        <f t="shared" si="95"/>
        <v>13474416</v>
      </c>
      <c r="V1000" s="44"/>
    </row>
    <row r="1001" spans="1:22" ht="14.5" x14ac:dyDescent="0.35">
      <c r="A1001" s="47" t="str">
        <f t="shared" si="91"/>
        <v>SBY-AN-E1038-2017</v>
      </c>
      <c r="B1001" s="26">
        <v>42997</v>
      </c>
      <c r="C1001" s="42">
        <v>2017</v>
      </c>
      <c r="D1001" s="27" t="s">
        <v>430</v>
      </c>
      <c r="E1001" s="27" t="s">
        <v>41</v>
      </c>
      <c r="F1001" s="42" t="str" cm="1">
        <f t="array" ref="F1001">_xlfn.IFS(E1001="Bandung","BDG",E1001="Surabaya","SBY",E1001="Jakarta","JKT")</f>
        <v>SBY</v>
      </c>
      <c r="G1001" s="27" t="s">
        <v>98</v>
      </c>
      <c r="H1001" s="27" t="s">
        <v>209</v>
      </c>
      <c r="I1001" s="27" t="s">
        <v>46</v>
      </c>
      <c r="J1001" s="26" t="s">
        <v>1630</v>
      </c>
      <c r="K1001" s="26">
        <v>42998</v>
      </c>
      <c r="L1001" s="27">
        <f t="shared" si="92"/>
        <v>1</v>
      </c>
      <c r="M1001" s="45">
        <v>4184850</v>
      </c>
      <c r="N1001" s="45">
        <v>6749850</v>
      </c>
      <c r="O1001" s="27">
        <v>5</v>
      </c>
      <c r="P1001" s="46">
        <f t="shared" si="93"/>
        <v>0.38000844463210293</v>
      </c>
      <c r="Q1001" s="27">
        <v>5</v>
      </c>
      <c r="R1001" s="44">
        <f t="shared" si="90"/>
        <v>33749250</v>
      </c>
      <c r="S1001" s="29">
        <v>0.01</v>
      </c>
      <c r="T1001" s="44">
        <f t="shared" si="94"/>
        <v>33411757.5</v>
      </c>
      <c r="U1001" s="44">
        <f t="shared" si="95"/>
        <v>12487507.5</v>
      </c>
      <c r="V1001" s="44"/>
    </row>
    <row r="1002" spans="1:22" ht="14.5" x14ac:dyDescent="0.35">
      <c r="A1002" s="47" t="str">
        <f t="shared" si="91"/>
        <v>SBY-AY-E1032-2017</v>
      </c>
      <c r="B1002" s="26">
        <v>43050</v>
      </c>
      <c r="C1002" s="42">
        <v>2017</v>
      </c>
      <c r="D1002" s="27" t="s">
        <v>463</v>
      </c>
      <c r="E1002" s="27" t="s">
        <v>41</v>
      </c>
      <c r="F1002" s="42" t="str" cm="1">
        <f t="array" ref="F1002">_xlfn.IFS(E1002="Bandung","BDG",E1002="Surabaya","SBY",E1002="Jakarta","JKT")</f>
        <v>SBY</v>
      </c>
      <c r="G1002" s="27" t="s">
        <v>53</v>
      </c>
      <c r="H1002" s="27" t="s">
        <v>123</v>
      </c>
      <c r="I1002" s="27" t="s">
        <v>35</v>
      </c>
      <c r="J1002" s="26" t="s">
        <v>1641</v>
      </c>
      <c r="K1002" s="26">
        <v>43052</v>
      </c>
      <c r="L1002" s="27">
        <f t="shared" si="92"/>
        <v>2</v>
      </c>
      <c r="M1002" s="45">
        <v>208200</v>
      </c>
      <c r="N1002" s="45">
        <v>335700</v>
      </c>
      <c r="O1002" s="27">
        <v>34</v>
      </c>
      <c r="P1002" s="46">
        <f t="shared" si="93"/>
        <v>0.37980339588918677</v>
      </c>
      <c r="Q1002" s="27">
        <v>34</v>
      </c>
      <c r="R1002" s="44">
        <f t="shared" si="90"/>
        <v>11413800</v>
      </c>
      <c r="S1002" s="29">
        <v>0.01</v>
      </c>
      <c r="T1002" s="44">
        <f t="shared" si="94"/>
        <v>11299662</v>
      </c>
      <c r="U1002" s="44">
        <f t="shared" si="95"/>
        <v>4220862</v>
      </c>
      <c r="V1002" s="44"/>
    </row>
    <row r="1003" spans="1:22" ht="14.5" x14ac:dyDescent="0.35">
      <c r="A1003" s="47" t="str">
        <f t="shared" si="91"/>
        <v>JKT-AS-E1028-2019</v>
      </c>
      <c r="B1003" s="26">
        <v>43646</v>
      </c>
      <c r="C1003" s="42">
        <v>2019</v>
      </c>
      <c r="D1003" s="27" t="s">
        <v>666</v>
      </c>
      <c r="E1003" s="27" t="s">
        <v>32</v>
      </c>
      <c r="F1003" s="42" t="str" cm="1">
        <f t="array" ref="F1003">_xlfn.IFS(E1003="Bandung","BDG",E1003="Surabaya","SBY",E1003="Jakarta","JKT")</f>
        <v>JKT</v>
      </c>
      <c r="G1003" s="27" t="s">
        <v>33</v>
      </c>
      <c r="H1003" s="27" t="s">
        <v>115</v>
      </c>
      <c r="I1003" s="27" t="s">
        <v>73</v>
      </c>
      <c r="J1003" s="26">
        <v>43647</v>
      </c>
      <c r="K1003" s="26">
        <v>43472</v>
      </c>
      <c r="L1003" s="27">
        <f t="shared" si="92"/>
        <v>-174</v>
      </c>
      <c r="M1003" s="45">
        <v>28050</v>
      </c>
      <c r="N1003" s="45">
        <v>121799.99999999999</v>
      </c>
      <c r="O1003" s="27">
        <v>37</v>
      </c>
      <c r="P1003" s="46">
        <f t="shared" si="93"/>
        <v>0.76970443349753692</v>
      </c>
      <c r="Q1003" s="27">
        <v>37</v>
      </c>
      <c r="R1003" s="44">
        <f t="shared" si="90"/>
        <v>4506599.9999999991</v>
      </c>
      <c r="S1003" s="29">
        <v>0.01</v>
      </c>
      <c r="T1003" s="44">
        <f t="shared" si="94"/>
        <v>4461533.9999999991</v>
      </c>
      <c r="U1003" s="44">
        <f t="shared" si="95"/>
        <v>3423683.9999999991</v>
      </c>
      <c r="V1003" s="44"/>
    </row>
    <row r="1004" spans="1:22" ht="15.75" customHeight="1" x14ac:dyDescent="0.35">
      <c r="B1004" s="26"/>
      <c r="C1004" s="27"/>
      <c r="D1004" s="27"/>
      <c r="E1004" s="27"/>
      <c r="F1004" s="27"/>
      <c r="G1004" s="27"/>
      <c r="H1004" s="27"/>
      <c r="I1004" s="27"/>
      <c r="J1004" s="26"/>
      <c r="K1004" s="26"/>
      <c r="L1004" s="26"/>
      <c r="M1004" s="28"/>
      <c r="N1004" s="28"/>
      <c r="O1004" s="28"/>
      <c r="P1004" s="28"/>
      <c r="Q1004" s="27"/>
      <c r="R1004" s="28"/>
      <c r="S1004" s="29"/>
      <c r="T1004" s="29"/>
      <c r="U1004" s="29"/>
      <c r="V1004" s="29"/>
    </row>
    <row r="1005" spans="1:22" ht="15.75" customHeight="1" x14ac:dyDescent="0.35">
      <c r="B1005" s="26"/>
      <c r="C1005" s="27"/>
      <c r="D1005" s="27"/>
      <c r="E1005" s="27"/>
      <c r="F1005" s="27"/>
      <c r="G1005" s="27"/>
      <c r="H1005" s="27"/>
      <c r="I1005" s="27"/>
      <c r="J1005" s="26"/>
      <c r="K1005" s="26"/>
      <c r="L1005" s="26"/>
      <c r="M1005" s="28"/>
      <c r="N1005" s="28"/>
      <c r="O1005" s="28"/>
      <c r="P1005" s="28"/>
      <c r="Q1005" s="27"/>
      <c r="R1005" s="28"/>
      <c r="S1005" s="29"/>
      <c r="T1005" s="29"/>
      <c r="U1005" s="29"/>
      <c r="V1005" s="29"/>
    </row>
    <row r="1006" spans="1:22" ht="15.75" customHeight="1" x14ac:dyDescent="0.35">
      <c r="B1006" s="26"/>
      <c r="C1006" s="27"/>
      <c r="D1006" s="27"/>
      <c r="E1006" s="27"/>
      <c r="F1006" s="27"/>
      <c r="G1006" s="27"/>
      <c r="H1006" s="27"/>
      <c r="I1006" s="27"/>
      <c r="J1006" s="26"/>
      <c r="K1006" s="26"/>
      <c r="L1006" s="26"/>
      <c r="M1006" s="28"/>
      <c r="N1006" s="28"/>
      <c r="O1006" s="28"/>
      <c r="P1006" s="28"/>
      <c r="Q1006" s="27"/>
      <c r="R1006" s="28"/>
      <c r="S1006" s="29"/>
      <c r="T1006" s="29"/>
      <c r="U1006" s="29"/>
      <c r="V1006" s="29"/>
    </row>
    <row r="1007" spans="1:22" ht="15.75" customHeight="1" x14ac:dyDescent="0.35">
      <c r="B1007" s="26"/>
      <c r="C1007" s="27"/>
      <c r="D1007" s="27"/>
      <c r="E1007" s="27"/>
      <c r="F1007" s="27"/>
      <c r="G1007" s="27"/>
      <c r="H1007" s="27"/>
      <c r="I1007" s="27"/>
      <c r="J1007" s="26"/>
      <c r="K1007" s="26"/>
      <c r="L1007" s="26"/>
      <c r="M1007" s="28"/>
      <c r="N1007" s="28"/>
      <c r="O1007" s="28"/>
      <c r="P1007" s="28"/>
      <c r="Q1007" s="27"/>
      <c r="R1007" s="28"/>
      <c r="S1007" s="29"/>
      <c r="T1007" s="29"/>
      <c r="U1007" s="29"/>
      <c r="V1007" s="29"/>
    </row>
    <row r="1008" spans="1:22" ht="15.75" customHeight="1" x14ac:dyDescent="0.35">
      <c r="B1008" s="26"/>
      <c r="C1008" s="27"/>
      <c r="D1008" s="27"/>
      <c r="E1008" s="27"/>
      <c r="F1008" s="27"/>
      <c r="G1008" s="27"/>
      <c r="H1008" s="27"/>
      <c r="I1008" s="27"/>
      <c r="J1008" s="26"/>
      <c r="K1008" s="26"/>
      <c r="L1008" s="26"/>
      <c r="M1008" s="28"/>
      <c r="N1008" s="28"/>
      <c r="O1008" s="28"/>
      <c r="P1008" s="28"/>
      <c r="Q1008" s="27"/>
      <c r="R1008" s="28"/>
      <c r="S1008" s="29"/>
      <c r="T1008" s="29"/>
      <c r="U1008" s="29"/>
      <c r="V1008" s="29"/>
    </row>
    <row r="1009" spans="2:22" ht="15.75" customHeight="1" x14ac:dyDescent="0.35">
      <c r="B1009" s="26"/>
      <c r="C1009" s="27"/>
      <c r="D1009" s="27"/>
      <c r="E1009" s="27"/>
      <c r="F1009" s="27"/>
      <c r="G1009" s="27"/>
      <c r="H1009" s="27"/>
      <c r="I1009" s="27"/>
      <c r="J1009" s="26"/>
      <c r="K1009" s="26"/>
      <c r="L1009" s="26"/>
      <c r="M1009" s="28"/>
      <c r="N1009" s="28"/>
      <c r="O1009" s="28"/>
      <c r="P1009" s="28"/>
      <c r="Q1009" s="27"/>
      <c r="R1009" s="28"/>
      <c r="S1009" s="29"/>
      <c r="T1009" s="29"/>
      <c r="U1009" s="29"/>
      <c r="V1009" s="29"/>
    </row>
    <row r="1010" spans="2:22" ht="15.75" customHeight="1" x14ac:dyDescent="0.35">
      <c r="B1010" s="26"/>
      <c r="C1010" s="27"/>
      <c r="D1010" s="27"/>
      <c r="E1010" s="27"/>
      <c r="F1010" s="27"/>
      <c r="G1010" s="27"/>
      <c r="H1010" s="27"/>
      <c r="I1010" s="27"/>
      <c r="J1010" s="26"/>
      <c r="K1010" s="26"/>
      <c r="L1010" s="26"/>
      <c r="M1010" s="28"/>
      <c r="N1010" s="28"/>
      <c r="O1010" s="28"/>
      <c r="P1010" s="28"/>
      <c r="Q1010" s="27"/>
      <c r="R1010" s="28"/>
      <c r="S1010" s="29"/>
      <c r="T1010" s="29"/>
      <c r="U1010" s="29"/>
      <c r="V1010" s="29"/>
    </row>
    <row r="1011" spans="2:22" ht="15.75" customHeight="1" x14ac:dyDescent="0.35">
      <c r="B1011" s="26"/>
      <c r="C1011" s="27"/>
      <c r="D1011" s="27"/>
      <c r="E1011" s="27"/>
      <c r="F1011" s="27"/>
      <c r="G1011" s="27"/>
      <c r="H1011" s="27"/>
      <c r="I1011" s="27"/>
      <c r="J1011" s="26"/>
      <c r="K1011" s="26"/>
      <c r="L1011" s="26"/>
      <c r="M1011" s="28"/>
      <c r="N1011" s="28"/>
      <c r="O1011" s="28"/>
      <c r="P1011" s="28"/>
      <c r="Q1011" s="27"/>
      <c r="R1011" s="28"/>
      <c r="S1011" s="29"/>
      <c r="T1011" s="29"/>
      <c r="U1011" s="29"/>
      <c r="V1011" s="29"/>
    </row>
    <row r="1012" spans="2:22" ht="15.75" customHeight="1" x14ac:dyDescent="0.35">
      <c r="B1012" s="26"/>
      <c r="C1012" s="27"/>
      <c r="D1012" s="27"/>
      <c r="E1012" s="27"/>
      <c r="F1012" s="27"/>
      <c r="G1012" s="27"/>
      <c r="H1012" s="27"/>
      <c r="I1012" s="27"/>
      <c r="J1012" s="26"/>
      <c r="K1012" s="26"/>
      <c r="L1012" s="26"/>
      <c r="M1012" s="28"/>
      <c r="N1012" s="28"/>
      <c r="O1012" s="28"/>
      <c r="P1012" s="28"/>
      <c r="Q1012" s="27"/>
      <c r="R1012" s="28"/>
      <c r="S1012" s="29"/>
      <c r="T1012" s="29"/>
      <c r="U1012" s="29"/>
      <c r="V1012" s="29"/>
    </row>
    <row r="1013" spans="2:22" ht="15.75" customHeight="1" x14ac:dyDescent="0.35">
      <c r="B1013" s="26"/>
      <c r="C1013" s="27"/>
      <c r="D1013" s="27"/>
      <c r="E1013" s="27"/>
      <c r="F1013" s="27"/>
      <c r="G1013" s="27"/>
      <c r="H1013" s="27"/>
      <c r="I1013" s="27"/>
      <c r="J1013" s="26"/>
      <c r="K1013" s="26"/>
      <c r="L1013" s="26"/>
      <c r="M1013" s="28"/>
      <c r="N1013" s="28"/>
      <c r="O1013" s="28"/>
      <c r="P1013" s="28"/>
      <c r="Q1013" s="27"/>
      <c r="R1013" s="28"/>
      <c r="S1013" s="29"/>
      <c r="T1013" s="29"/>
      <c r="U1013" s="29"/>
      <c r="V1013" s="29"/>
    </row>
    <row r="1014" spans="2:22" ht="15.75" customHeight="1" x14ac:dyDescent="0.35">
      <c r="B1014" s="26"/>
      <c r="C1014" s="27"/>
      <c r="D1014" s="27"/>
      <c r="E1014" s="27"/>
      <c r="F1014" s="27"/>
      <c r="G1014" s="27"/>
      <c r="H1014" s="27"/>
      <c r="I1014" s="27"/>
      <c r="J1014" s="26"/>
      <c r="K1014" s="26"/>
      <c r="L1014" s="26"/>
      <c r="M1014" s="28"/>
      <c r="N1014" s="28"/>
      <c r="O1014" s="28"/>
      <c r="P1014" s="28"/>
      <c r="Q1014" s="27"/>
      <c r="R1014" s="28"/>
      <c r="S1014" s="29"/>
      <c r="T1014" s="29"/>
      <c r="U1014" s="29"/>
      <c r="V1014" s="29"/>
    </row>
    <row r="1015" spans="2:22" ht="15.75" customHeight="1" x14ac:dyDescent="0.35">
      <c r="B1015" s="26"/>
      <c r="C1015" s="27"/>
      <c r="D1015" s="27"/>
      <c r="E1015" s="27"/>
      <c r="F1015" s="27"/>
      <c r="G1015" s="27"/>
      <c r="H1015" s="27"/>
      <c r="I1015" s="27"/>
      <c r="J1015" s="26"/>
      <c r="K1015" s="26"/>
      <c r="L1015" s="26"/>
      <c r="M1015" s="28"/>
      <c r="N1015" s="28"/>
      <c r="O1015" s="28"/>
      <c r="P1015" s="28"/>
      <c r="Q1015" s="27"/>
      <c r="R1015" s="28"/>
      <c r="S1015" s="29"/>
      <c r="T1015" s="29"/>
      <c r="U1015" s="29"/>
      <c r="V1015" s="29"/>
    </row>
    <row r="1016" spans="2:22" ht="15.75" customHeight="1" x14ac:dyDescent="0.35">
      <c r="B1016" s="26"/>
      <c r="C1016" s="27"/>
      <c r="D1016" s="27"/>
      <c r="E1016" s="27"/>
      <c r="F1016" s="27"/>
      <c r="G1016" s="27"/>
      <c r="H1016" s="27"/>
      <c r="I1016" s="27"/>
      <c r="J1016" s="26"/>
      <c r="K1016" s="26"/>
      <c r="L1016" s="26"/>
      <c r="M1016" s="28"/>
      <c r="N1016" s="28"/>
      <c r="O1016" s="28"/>
      <c r="P1016" s="28"/>
      <c r="Q1016" s="27"/>
      <c r="R1016" s="28"/>
      <c r="S1016" s="29"/>
      <c r="T1016" s="29"/>
      <c r="U1016" s="29"/>
      <c r="V1016" s="29"/>
    </row>
    <row r="1017" spans="2:22" ht="15.75" customHeight="1" x14ac:dyDescent="0.35">
      <c r="B1017" s="26"/>
      <c r="C1017" s="27"/>
      <c r="D1017" s="27"/>
      <c r="E1017" s="27"/>
      <c r="F1017" s="27"/>
      <c r="G1017" s="27"/>
      <c r="H1017" s="27"/>
      <c r="I1017" s="27"/>
      <c r="J1017" s="26"/>
      <c r="K1017" s="26"/>
      <c r="L1017" s="26"/>
      <c r="M1017" s="28"/>
      <c r="N1017" s="28"/>
      <c r="O1017" s="28"/>
      <c r="P1017" s="28"/>
      <c r="Q1017" s="27"/>
      <c r="R1017" s="28"/>
      <c r="S1017" s="29"/>
      <c r="T1017" s="29"/>
      <c r="U1017" s="29"/>
      <c r="V1017" s="29"/>
    </row>
    <row r="1018" spans="2:22" ht="15.75" customHeight="1" x14ac:dyDescent="0.35">
      <c r="B1018" s="26"/>
      <c r="C1018" s="27"/>
      <c r="D1018" s="27"/>
      <c r="E1018" s="27"/>
      <c r="F1018" s="27"/>
      <c r="G1018" s="27"/>
      <c r="H1018" s="27"/>
      <c r="I1018" s="27"/>
      <c r="J1018" s="26"/>
      <c r="K1018" s="26"/>
      <c r="L1018" s="26"/>
      <c r="M1018" s="28"/>
      <c r="N1018" s="28"/>
      <c r="O1018" s="28"/>
      <c r="P1018" s="28"/>
      <c r="Q1018" s="27"/>
      <c r="R1018" s="28"/>
      <c r="S1018" s="29"/>
      <c r="T1018" s="29"/>
      <c r="U1018" s="29"/>
      <c r="V1018" s="29"/>
    </row>
    <row r="1019" spans="2:22" ht="15.75" customHeight="1" x14ac:dyDescent="0.35">
      <c r="B1019" s="26"/>
      <c r="C1019" s="27"/>
      <c r="D1019" s="27"/>
      <c r="E1019" s="27"/>
      <c r="F1019" s="27"/>
      <c r="G1019" s="27"/>
      <c r="H1019" s="27"/>
      <c r="I1019" s="27"/>
      <c r="J1019" s="26"/>
      <c r="K1019" s="26"/>
      <c r="L1019" s="26"/>
      <c r="M1019" s="28"/>
      <c r="N1019" s="28"/>
      <c r="O1019" s="28"/>
      <c r="P1019" s="28"/>
      <c r="Q1019" s="27"/>
      <c r="R1019" s="28"/>
      <c r="S1019" s="29"/>
      <c r="T1019" s="29"/>
      <c r="U1019" s="29"/>
      <c r="V1019" s="29"/>
    </row>
    <row r="1020" spans="2:22" ht="15.75" customHeight="1" x14ac:dyDescent="0.35">
      <c r="B1020" s="26"/>
      <c r="C1020" s="27"/>
      <c r="D1020" s="27"/>
      <c r="E1020" s="27"/>
      <c r="F1020" s="27"/>
      <c r="G1020" s="27"/>
      <c r="H1020" s="27"/>
      <c r="I1020" s="27"/>
      <c r="J1020" s="26"/>
      <c r="K1020" s="26"/>
      <c r="L1020" s="26"/>
      <c r="M1020" s="28"/>
      <c r="N1020" s="28"/>
      <c r="O1020" s="28"/>
      <c r="P1020" s="28"/>
      <c r="Q1020" s="27"/>
      <c r="R1020" s="28"/>
      <c r="S1020" s="29"/>
      <c r="T1020" s="29"/>
      <c r="U1020" s="29"/>
      <c r="V1020" s="29"/>
    </row>
    <row r="1021" spans="2:22" ht="15.75" customHeight="1" x14ac:dyDescent="0.35">
      <c r="B1021" s="26"/>
      <c r="C1021" s="27"/>
      <c r="D1021" s="27"/>
      <c r="E1021" s="27"/>
      <c r="F1021" s="27"/>
      <c r="G1021" s="27"/>
      <c r="H1021" s="27"/>
      <c r="I1021" s="27"/>
      <c r="J1021" s="26"/>
      <c r="K1021" s="26"/>
      <c r="L1021" s="26"/>
      <c r="M1021" s="28"/>
      <c r="N1021" s="28"/>
      <c r="O1021" s="28"/>
      <c r="P1021" s="28"/>
      <c r="Q1021" s="27"/>
      <c r="R1021" s="28"/>
      <c r="S1021" s="29"/>
      <c r="T1021" s="29"/>
      <c r="U1021" s="29"/>
      <c r="V1021" s="29"/>
    </row>
    <row r="1022" spans="2:22" ht="15.75" customHeight="1" x14ac:dyDescent="0.35">
      <c r="B1022" s="26"/>
      <c r="C1022" s="27"/>
      <c r="D1022" s="27"/>
      <c r="E1022" s="27"/>
      <c r="F1022" s="27"/>
      <c r="G1022" s="27"/>
      <c r="H1022" s="27"/>
      <c r="I1022" s="27"/>
      <c r="J1022" s="26"/>
      <c r="K1022" s="26"/>
      <c r="L1022" s="26"/>
      <c r="M1022" s="28"/>
      <c r="N1022" s="28"/>
      <c r="O1022" s="28"/>
      <c r="P1022" s="28"/>
      <c r="Q1022" s="27"/>
      <c r="R1022" s="28"/>
      <c r="S1022" s="29"/>
      <c r="T1022" s="29"/>
      <c r="U1022" s="29"/>
      <c r="V1022" s="29"/>
    </row>
    <row r="1023" spans="2:22" ht="15.75" customHeight="1" x14ac:dyDescent="0.35">
      <c r="B1023" s="26"/>
      <c r="C1023" s="27"/>
      <c r="D1023" s="27"/>
      <c r="E1023" s="27"/>
      <c r="F1023" s="27"/>
      <c r="G1023" s="27"/>
      <c r="H1023" s="27"/>
      <c r="I1023" s="27"/>
      <c r="J1023" s="26"/>
      <c r="K1023" s="26"/>
      <c r="L1023" s="26"/>
      <c r="M1023" s="28"/>
      <c r="N1023" s="28"/>
      <c r="O1023" s="28"/>
      <c r="P1023" s="28"/>
      <c r="Q1023" s="27"/>
      <c r="R1023" s="28"/>
      <c r="S1023" s="29"/>
      <c r="T1023" s="29"/>
      <c r="U1023" s="29"/>
      <c r="V1023" s="29"/>
    </row>
    <row r="1024" spans="2:22" ht="15.75" customHeight="1" x14ac:dyDescent="0.35">
      <c r="B1024" s="26"/>
      <c r="C1024" s="27"/>
      <c r="D1024" s="27"/>
      <c r="E1024" s="27"/>
      <c r="F1024" s="27"/>
      <c r="G1024" s="27"/>
      <c r="H1024" s="27"/>
      <c r="I1024" s="27"/>
      <c r="J1024" s="26"/>
      <c r="K1024" s="26"/>
      <c r="L1024" s="26"/>
      <c r="M1024" s="28"/>
      <c r="N1024" s="28"/>
      <c r="O1024" s="28"/>
      <c r="P1024" s="28"/>
      <c r="Q1024" s="27"/>
      <c r="R1024" s="28"/>
      <c r="S1024" s="29"/>
      <c r="T1024" s="29"/>
      <c r="U1024" s="29"/>
      <c r="V1024" s="29"/>
    </row>
    <row r="1025" spans="2:22" ht="15.75" customHeight="1" x14ac:dyDescent="0.35">
      <c r="B1025" s="26"/>
      <c r="C1025" s="27"/>
      <c r="D1025" s="27"/>
      <c r="E1025" s="27"/>
      <c r="F1025" s="27"/>
      <c r="G1025" s="27"/>
      <c r="H1025" s="27"/>
      <c r="I1025" s="27"/>
      <c r="J1025" s="26"/>
      <c r="K1025" s="26"/>
      <c r="L1025" s="26"/>
      <c r="M1025" s="28"/>
      <c r="N1025" s="28"/>
      <c r="O1025" s="28"/>
      <c r="P1025" s="28"/>
      <c r="Q1025" s="27"/>
      <c r="R1025" s="28"/>
      <c r="S1025" s="29"/>
      <c r="T1025" s="29"/>
      <c r="U1025" s="29"/>
      <c r="V1025" s="29"/>
    </row>
    <row r="1026" spans="2:22" ht="15.75" customHeight="1" x14ac:dyDescent="0.35">
      <c r="B1026" s="26"/>
      <c r="C1026" s="27"/>
      <c r="D1026" s="27"/>
      <c r="E1026" s="27"/>
      <c r="F1026" s="27"/>
      <c r="G1026" s="27"/>
      <c r="H1026" s="27"/>
      <c r="I1026" s="27"/>
      <c r="J1026" s="26"/>
      <c r="K1026" s="26"/>
      <c r="L1026" s="26"/>
      <c r="M1026" s="28"/>
      <c r="N1026" s="28"/>
      <c r="O1026" s="28"/>
      <c r="P1026" s="28"/>
      <c r="Q1026" s="27"/>
      <c r="R1026" s="28"/>
      <c r="S1026" s="29"/>
      <c r="T1026" s="29"/>
      <c r="U1026" s="29"/>
      <c r="V1026" s="29"/>
    </row>
    <row r="1027" spans="2:22" ht="15.75" customHeight="1" x14ac:dyDescent="0.35">
      <c r="B1027" s="26"/>
      <c r="C1027" s="27"/>
      <c r="D1027" s="27"/>
      <c r="E1027" s="27"/>
      <c r="F1027" s="27"/>
      <c r="G1027" s="27"/>
      <c r="H1027" s="27"/>
      <c r="I1027" s="27"/>
      <c r="J1027" s="26"/>
      <c r="K1027" s="26"/>
      <c r="L1027" s="26"/>
      <c r="M1027" s="28"/>
      <c r="N1027" s="28"/>
      <c r="O1027" s="28"/>
      <c r="P1027" s="28"/>
      <c r="Q1027" s="27"/>
      <c r="R1027" s="28"/>
      <c r="S1027" s="29"/>
      <c r="T1027" s="29"/>
      <c r="U1027" s="29"/>
      <c r="V1027" s="29"/>
    </row>
    <row r="1028" spans="2:22" ht="15.75" customHeight="1" x14ac:dyDescent="0.35">
      <c r="B1028" s="26"/>
      <c r="C1028" s="27"/>
      <c r="D1028" s="27"/>
      <c r="E1028" s="27"/>
      <c r="F1028" s="27"/>
      <c r="G1028" s="27"/>
      <c r="H1028" s="27"/>
      <c r="I1028" s="27"/>
      <c r="J1028" s="26"/>
      <c r="K1028" s="26"/>
      <c r="L1028" s="26"/>
      <c r="M1028" s="28"/>
      <c r="N1028" s="28"/>
      <c r="O1028" s="28"/>
      <c r="P1028" s="28"/>
      <c r="Q1028" s="27"/>
      <c r="R1028" s="28"/>
      <c r="S1028" s="29"/>
      <c r="T1028" s="29"/>
      <c r="U1028" s="29"/>
      <c r="V1028" s="29"/>
    </row>
    <row r="1029" spans="2:22" ht="15.75" customHeight="1" x14ac:dyDescent="0.35">
      <c r="B1029" s="26"/>
      <c r="C1029" s="27"/>
      <c r="D1029" s="27"/>
      <c r="E1029" s="27"/>
      <c r="F1029" s="27"/>
      <c r="G1029" s="27"/>
      <c r="H1029" s="27"/>
      <c r="I1029" s="27"/>
      <c r="J1029" s="26"/>
      <c r="K1029" s="26"/>
      <c r="L1029" s="26"/>
      <c r="M1029" s="28"/>
      <c r="N1029" s="28"/>
      <c r="O1029" s="28"/>
      <c r="P1029" s="28"/>
      <c r="Q1029" s="27"/>
      <c r="R1029" s="28"/>
      <c r="S1029" s="29"/>
      <c r="T1029" s="29"/>
      <c r="U1029" s="29"/>
      <c r="V1029" s="29"/>
    </row>
    <row r="1030" spans="2:22" ht="15.75" customHeight="1" x14ac:dyDescent="0.35">
      <c r="B1030" s="26"/>
      <c r="C1030" s="27"/>
      <c r="D1030" s="27"/>
      <c r="E1030" s="27"/>
      <c r="F1030" s="27"/>
      <c r="G1030" s="27"/>
      <c r="H1030" s="27"/>
      <c r="I1030" s="27"/>
      <c r="J1030" s="26"/>
      <c r="K1030" s="26"/>
      <c r="L1030" s="26"/>
      <c r="M1030" s="28"/>
      <c r="N1030" s="28"/>
      <c r="O1030" s="28"/>
      <c r="P1030" s="28"/>
      <c r="Q1030" s="27"/>
      <c r="R1030" s="28"/>
      <c r="S1030" s="29"/>
      <c r="T1030" s="29"/>
      <c r="U1030" s="29"/>
      <c r="V1030" s="29"/>
    </row>
    <row r="1031" spans="2:22" ht="15.75" customHeight="1" x14ac:dyDescent="0.35">
      <c r="B1031" s="26"/>
      <c r="C1031" s="27"/>
      <c r="D1031" s="27"/>
      <c r="E1031" s="27"/>
      <c r="F1031" s="27"/>
      <c r="G1031" s="27"/>
      <c r="H1031" s="27"/>
      <c r="I1031" s="27"/>
      <c r="J1031" s="26"/>
      <c r="K1031" s="26"/>
      <c r="L1031" s="26"/>
      <c r="M1031" s="28"/>
      <c r="N1031" s="28"/>
      <c r="O1031" s="28"/>
      <c r="P1031" s="28"/>
      <c r="Q1031" s="27"/>
      <c r="R1031" s="28"/>
      <c r="S1031" s="29"/>
      <c r="T1031" s="29"/>
      <c r="U1031" s="29"/>
      <c r="V1031" s="29"/>
    </row>
    <row r="1032" spans="2:22" ht="15.75" customHeight="1" x14ac:dyDescent="0.35">
      <c r="B1032" s="26"/>
      <c r="C1032" s="27"/>
      <c r="D1032" s="27"/>
      <c r="E1032" s="27"/>
      <c r="F1032" s="27"/>
      <c r="G1032" s="27"/>
      <c r="H1032" s="27"/>
      <c r="I1032" s="27"/>
      <c r="J1032" s="26"/>
      <c r="K1032" s="26"/>
      <c r="L1032" s="26"/>
      <c r="M1032" s="28"/>
      <c r="N1032" s="28"/>
      <c r="O1032" s="28"/>
      <c r="P1032" s="28"/>
      <c r="Q1032" s="27"/>
      <c r="R1032" s="28"/>
      <c r="S1032" s="29"/>
      <c r="T1032" s="29"/>
      <c r="U1032" s="29"/>
      <c r="V1032" s="29"/>
    </row>
    <row r="1033" spans="2:22" ht="15.75" customHeight="1" x14ac:dyDescent="0.35">
      <c r="B1033" s="26"/>
      <c r="C1033" s="27"/>
      <c r="D1033" s="27"/>
      <c r="E1033" s="27"/>
      <c r="F1033" s="27"/>
      <c r="G1033" s="27"/>
      <c r="H1033" s="27"/>
      <c r="I1033" s="27"/>
      <c r="J1033" s="26"/>
      <c r="K1033" s="26"/>
      <c r="L1033" s="26"/>
      <c r="M1033" s="28"/>
      <c r="N1033" s="28"/>
      <c r="O1033" s="28"/>
      <c r="P1033" s="28"/>
      <c r="Q1033" s="27"/>
      <c r="R1033" s="28"/>
      <c r="S1033" s="29"/>
      <c r="T1033" s="29"/>
      <c r="U1033" s="29"/>
      <c r="V1033" s="29"/>
    </row>
    <row r="1034" spans="2:22" ht="15.75" customHeight="1" x14ac:dyDescent="0.35">
      <c r="B1034" s="26"/>
      <c r="C1034" s="27"/>
      <c r="D1034" s="27"/>
      <c r="E1034" s="27"/>
      <c r="F1034" s="27"/>
      <c r="G1034" s="27"/>
      <c r="H1034" s="27"/>
      <c r="I1034" s="27"/>
      <c r="J1034" s="26"/>
      <c r="K1034" s="26"/>
      <c r="L1034" s="26"/>
      <c r="M1034" s="28"/>
      <c r="N1034" s="28"/>
      <c r="O1034" s="28"/>
      <c r="P1034" s="28"/>
      <c r="Q1034" s="27"/>
      <c r="R1034" s="28"/>
      <c r="S1034" s="29"/>
      <c r="T1034" s="29"/>
      <c r="U1034" s="29"/>
      <c r="V1034" s="29"/>
    </row>
    <row r="1035" spans="2:22" ht="15.75" customHeight="1" x14ac:dyDescent="0.35">
      <c r="B1035" s="26"/>
      <c r="C1035" s="27"/>
      <c r="D1035" s="27"/>
      <c r="E1035" s="27"/>
      <c r="F1035" s="27"/>
      <c r="G1035" s="27"/>
      <c r="H1035" s="27"/>
      <c r="I1035" s="27"/>
      <c r="J1035" s="26"/>
      <c r="K1035" s="26"/>
      <c r="L1035" s="26"/>
      <c r="M1035" s="28"/>
      <c r="N1035" s="28"/>
      <c r="O1035" s="28"/>
      <c r="P1035" s="28"/>
      <c r="Q1035" s="27"/>
      <c r="R1035" s="28"/>
      <c r="S1035" s="29"/>
      <c r="T1035" s="29"/>
      <c r="U1035" s="29"/>
      <c r="V1035" s="29"/>
    </row>
    <row r="1036" spans="2:22" ht="15.75" customHeight="1" x14ac:dyDescent="0.35">
      <c r="B1036" s="26"/>
      <c r="C1036" s="27"/>
      <c r="D1036" s="27"/>
      <c r="E1036" s="27"/>
      <c r="F1036" s="27"/>
      <c r="G1036" s="27"/>
      <c r="H1036" s="27"/>
      <c r="I1036" s="27"/>
      <c r="J1036" s="26"/>
      <c r="K1036" s="26"/>
      <c r="L1036" s="26"/>
      <c r="M1036" s="28"/>
      <c r="N1036" s="28"/>
      <c r="O1036" s="28"/>
      <c r="P1036" s="28"/>
      <c r="Q1036" s="27"/>
      <c r="R1036" s="28"/>
      <c r="S1036" s="29"/>
      <c r="T1036" s="29"/>
      <c r="U1036" s="29"/>
      <c r="V1036" s="29"/>
    </row>
    <row r="1037" spans="2:22" ht="15.75" customHeight="1" x14ac:dyDescent="0.35">
      <c r="B1037" s="26"/>
      <c r="C1037" s="27"/>
      <c r="D1037" s="27"/>
      <c r="E1037" s="27"/>
      <c r="F1037" s="27"/>
      <c r="G1037" s="27"/>
      <c r="H1037" s="27"/>
      <c r="I1037" s="27"/>
      <c r="J1037" s="26"/>
      <c r="K1037" s="26"/>
      <c r="L1037" s="26"/>
      <c r="M1037" s="28"/>
      <c r="N1037" s="28"/>
      <c r="O1037" s="28"/>
      <c r="P1037" s="28"/>
      <c r="Q1037" s="27"/>
      <c r="R1037" s="28"/>
      <c r="S1037" s="29"/>
      <c r="T1037" s="29"/>
      <c r="U1037" s="29"/>
      <c r="V1037" s="29"/>
    </row>
    <row r="1038" spans="2:22" ht="15.75" customHeight="1" x14ac:dyDescent="0.35">
      <c r="B1038" s="26"/>
      <c r="C1038" s="27"/>
      <c r="D1038" s="27"/>
      <c r="E1038" s="27"/>
      <c r="F1038" s="27"/>
      <c r="G1038" s="27"/>
      <c r="H1038" s="27"/>
      <c r="I1038" s="27"/>
      <c r="J1038" s="26"/>
      <c r="K1038" s="26"/>
      <c r="L1038" s="26"/>
      <c r="M1038" s="28"/>
      <c r="N1038" s="28"/>
      <c r="O1038" s="28"/>
      <c r="P1038" s="28"/>
      <c r="Q1038" s="27"/>
      <c r="R1038" s="28"/>
      <c r="S1038" s="29"/>
      <c r="T1038" s="29"/>
      <c r="U1038" s="29"/>
      <c r="V1038" s="29"/>
    </row>
    <row r="1039" spans="2:22" ht="15.75" customHeight="1" x14ac:dyDescent="0.35">
      <c r="B1039" s="26"/>
      <c r="C1039" s="27"/>
      <c r="D1039" s="27"/>
      <c r="E1039" s="27"/>
      <c r="F1039" s="27"/>
      <c r="G1039" s="27"/>
      <c r="H1039" s="27"/>
      <c r="I1039" s="27"/>
      <c r="J1039" s="26"/>
      <c r="K1039" s="26"/>
      <c r="L1039" s="26"/>
      <c r="M1039" s="28"/>
      <c r="N1039" s="28"/>
      <c r="O1039" s="28"/>
      <c r="P1039" s="28"/>
      <c r="Q1039" s="27"/>
      <c r="R1039" s="28"/>
      <c r="S1039" s="29"/>
      <c r="T1039" s="29"/>
      <c r="U1039" s="29"/>
      <c r="V1039" s="29"/>
    </row>
    <row r="1040" spans="2:22" ht="15.75" customHeight="1" x14ac:dyDescent="0.35">
      <c r="B1040" s="26"/>
      <c r="C1040" s="27"/>
      <c r="D1040" s="27"/>
      <c r="E1040" s="27"/>
      <c r="F1040" s="27"/>
      <c r="G1040" s="27"/>
      <c r="H1040" s="27"/>
      <c r="I1040" s="27"/>
      <c r="J1040" s="26"/>
      <c r="K1040" s="26"/>
      <c r="L1040" s="26"/>
      <c r="M1040" s="28"/>
      <c r="N1040" s="28"/>
      <c r="O1040" s="28"/>
      <c r="P1040" s="28"/>
      <c r="Q1040" s="27"/>
      <c r="R1040" s="28"/>
      <c r="S1040" s="29"/>
      <c r="T1040" s="29"/>
      <c r="U1040" s="29"/>
      <c r="V1040" s="29"/>
    </row>
    <row r="1041" spans="2:22" ht="15.75" customHeight="1" x14ac:dyDescent="0.35">
      <c r="B1041" s="26"/>
      <c r="C1041" s="27"/>
      <c r="D1041" s="27"/>
      <c r="E1041" s="27"/>
      <c r="F1041" s="27"/>
      <c r="G1041" s="27"/>
      <c r="H1041" s="27"/>
      <c r="I1041" s="27"/>
      <c r="J1041" s="26"/>
      <c r="K1041" s="26"/>
      <c r="L1041" s="26"/>
      <c r="M1041" s="28"/>
      <c r="N1041" s="28"/>
      <c r="O1041" s="28"/>
      <c r="P1041" s="28"/>
      <c r="Q1041" s="27"/>
      <c r="R1041" s="28"/>
      <c r="S1041" s="29"/>
      <c r="T1041" s="29"/>
      <c r="U1041" s="29"/>
      <c r="V1041" s="29"/>
    </row>
    <row r="1042" spans="2:22" ht="15.75" customHeight="1" x14ac:dyDescent="0.35">
      <c r="B1042" s="26"/>
      <c r="C1042" s="27"/>
      <c r="D1042" s="27"/>
      <c r="E1042" s="27"/>
      <c r="F1042" s="27"/>
      <c r="G1042" s="27"/>
      <c r="H1042" s="27"/>
      <c r="I1042" s="27"/>
      <c r="J1042" s="26"/>
      <c r="K1042" s="26"/>
      <c r="L1042" s="26"/>
      <c r="M1042" s="28"/>
      <c r="N1042" s="28"/>
      <c r="O1042" s="28"/>
      <c r="P1042" s="28"/>
      <c r="Q1042" s="27"/>
      <c r="R1042" s="28"/>
      <c r="S1042" s="29"/>
      <c r="T1042" s="29"/>
      <c r="U1042" s="29"/>
      <c r="V1042" s="29"/>
    </row>
  </sheetData>
  <autoFilter ref="A1:X1003" xr:uid="{00000000-0001-0000-0100-000000000000}"/>
  <sortState xmlns:xlrd2="http://schemas.microsoft.com/office/spreadsheetml/2017/richdata2" ref="A4:U1003">
    <sortCondition descending="1" ref="D4:D1003"/>
  </sortState>
  <phoneticPr fontId="9" type="noConversion"/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44673443-2449-41C5-8559-51D831237A72}">
            <xm:f>A4=Answer!A4</xm:f>
            <x14:dxf>
              <fill>
                <patternFill>
                  <bgColor rgb="FF92D050"/>
                </patternFill>
              </fill>
            </x14:dxf>
          </x14:cfRule>
          <x14:cfRule type="expression" priority="4" stopIfTrue="1" id="{5448433A-2F8D-49E3-881E-3668084A8471}">
            <xm:f>A4&lt;&gt;Answer!A4</xm:f>
            <x14:dxf>
              <fill>
                <patternFill>
                  <bgColor rgb="FFFF0000"/>
                </patternFill>
              </fill>
            </x14:dxf>
          </x14:cfRule>
          <xm:sqref>A4:A1003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C1C1-B8C2-438B-BFB4-A328B85F3204}">
  <sheetPr codeName="Sheet4">
    <tabColor theme="5"/>
  </sheetPr>
  <dimension ref="A2:X10"/>
  <sheetViews>
    <sheetView zoomScale="104" zoomScaleNormal="170" workbookViewId="0">
      <selection activeCell="C19" sqref="C19"/>
    </sheetView>
  </sheetViews>
  <sheetFormatPr defaultRowHeight="14.5" x14ac:dyDescent="0.35"/>
  <cols>
    <col min="2" max="2" width="52.1796875" bestFit="1" customWidth="1"/>
    <col min="3" max="3" width="46.453125" customWidth="1"/>
  </cols>
  <sheetData>
    <row r="2" spans="1:24" x14ac:dyDescent="0.35">
      <c r="A2" s="14" t="s">
        <v>729</v>
      </c>
      <c r="B2" s="14" t="s">
        <v>1542</v>
      </c>
      <c r="C2" s="14" t="s">
        <v>1543</v>
      </c>
      <c r="F2" s="12"/>
      <c r="G2" s="5" t="s">
        <v>1786</v>
      </c>
    </row>
    <row r="3" spans="1:24" x14ac:dyDescent="0.35">
      <c r="A3" s="15">
        <v>1</v>
      </c>
      <c r="B3" s="8" t="s">
        <v>1541</v>
      </c>
      <c r="C3" s="16" t="s">
        <v>1809</v>
      </c>
      <c r="F3" s="13"/>
      <c r="G3" s="5" t="s">
        <v>1785</v>
      </c>
    </row>
    <row r="4" spans="1:24" x14ac:dyDescent="0.35">
      <c r="A4" s="15">
        <v>2</v>
      </c>
      <c r="B4" s="8" t="s">
        <v>1544</v>
      </c>
      <c r="C4" s="17" t="s">
        <v>209</v>
      </c>
    </row>
    <row r="5" spans="1:24" x14ac:dyDescent="0.35">
      <c r="A5" s="15">
        <v>3</v>
      </c>
      <c r="B5" s="8" t="s">
        <v>1546</v>
      </c>
      <c r="C5" s="16" t="s">
        <v>349</v>
      </c>
    </row>
    <row r="6" spans="1:24" x14ac:dyDescent="0.35">
      <c r="A6" s="18">
        <v>4</v>
      </c>
      <c r="B6" s="8" t="s">
        <v>1548</v>
      </c>
      <c r="C6" s="19">
        <v>7623843</v>
      </c>
      <c r="D6" t="s">
        <v>1814</v>
      </c>
    </row>
    <row r="7" spans="1:24" x14ac:dyDescent="0.35">
      <c r="A7" s="18">
        <v>5</v>
      </c>
      <c r="B7" s="8" t="s">
        <v>1547</v>
      </c>
      <c r="C7" s="9">
        <v>2104</v>
      </c>
    </row>
    <row r="10" spans="1:24" x14ac:dyDescent="0.35">
      <c r="X10" t="e" cm="1">
        <f t="array" ref="X10">'Main Data'!W</f>
        <v>#NAME?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stopIfTrue="1" id="{2ACCD4A8-7C75-47B2-947A-393F6F8BB473}">
            <xm:f>C3=Answer!H5</xm:f>
            <x14:dxf>
              <fill>
                <patternFill>
                  <fgColor theme="9"/>
                  <bgColor theme="9"/>
                </patternFill>
              </fill>
            </x14:dxf>
          </x14:cfRule>
          <x14:cfRule type="expression" priority="8" stopIfTrue="1" id="{50483A24-4988-49A8-82F2-C4E36EB00DC8}">
            <xm:f>C3&lt;&gt;Answer!H5</xm:f>
            <x14:dxf>
              <fill>
                <patternFill>
                  <bgColor rgb="FFFF0000"/>
                </patternFill>
              </fill>
            </x14:dxf>
          </x14:cfRule>
          <xm:sqref>C3:C7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065A-846A-4A83-9EC2-AD9A5F1E0DCF}">
  <sheetPr codeName="Sheet5"/>
  <dimension ref="A1:H1003"/>
  <sheetViews>
    <sheetView topLeftCell="XFD1048576" workbookViewId="0">
      <selection activeCell="G15" sqref="A1:XFD1048576"/>
    </sheetView>
  </sheetViews>
  <sheetFormatPr defaultColWidth="0" defaultRowHeight="14.5" zeroHeight="1" x14ac:dyDescent="0.35"/>
  <cols>
    <col min="1" max="1" width="18.26953125" hidden="1" customWidth="1"/>
    <col min="2" max="5" width="9.1796875" hidden="1" customWidth="1"/>
    <col min="6" max="6" width="3.54296875" hidden="1" customWidth="1"/>
    <col min="7" max="7" width="52.1796875" hidden="1" customWidth="1"/>
    <col min="8" max="8" width="32.1796875" hidden="1" customWidth="1"/>
    <col min="9" max="16384" width="9.1796875" hidden="1"/>
  </cols>
  <sheetData>
    <row r="1" spans="1:8" hidden="1" x14ac:dyDescent="0.35">
      <c r="A1" t="s">
        <v>30</v>
      </c>
    </row>
    <row r="3" spans="1:8" hidden="1" x14ac:dyDescent="0.35">
      <c r="A3" t="s">
        <v>731</v>
      </c>
    </row>
    <row r="4" spans="1:8" hidden="1" x14ac:dyDescent="0.35">
      <c r="A4" t="s">
        <v>735</v>
      </c>
      <c r="F4" t="s">
        <v>729</v>
      </c>
      <c r="G4" t="s">
        <v>1542</v>
      </c>
      <c r="H4" t="s">
        <v>1543</v>
      </c>
    </row>
    <row r="5" spans="1:8" hidden="1" x14ac:dyDescent="0.35">
      <c r="A5" t="s">
        <v>736</v>
      </c>
      <c r="F5">
        <v>1</v>
      </c>
      <c r="G5" t="s">
        <v>1541</v>
      </c>
      <c r="H5" t="s">
        <v>107</v>
      </c>
    </row>
    <row r="6" spans="1:8" hidden="1" x14ac:dyDescent="0.35">
      <c r="A6" t="s">
        <v>737</v>
      </c>
      <c r="F6">
        <v>2</v>
      </c>
      <c r="G6" t="s">
        <v>1544</v>
      </c>
      <c r="H6" t="s">
        <v>209</v>
      </c>
    </row>
    <row r="7" spans="1:8" hidden="1" x14ac:dyDescent="0.35">
      <c r="A7" t="s">
        <v>738</v>
      </c>
      <c r="F7">
        <v>3</v>
      </c>
      <c r="G7" t="s">
        <v>1546</v>
      </c>
      <c r="H7" t="s">
        <v>349</v>
      </c>
    </row>
    <row r="8" spans="1:8" hidden="1" x14ac:dyDescent="0.35">
      <c r="A8" t="s">
        <v>739</v>
      </c>
      <c r="F8">
        <v>4</v>
      </c>
      <c r="G8" t="s">
        <v>1548</v>
      </c>
      <c r="H8" s="11">
        <v>7623843.0308219176</v>
      </c>
    </row>
    <row r="9" spans="1:8" hidden="1" x14ac:dyDescent="0.35">
      <c r="A9" t="s">
        <v>740</v>
      </c>
      <c r="F9">
        <v>5</v>
      </c>
      <c r="G9" t="s">
        <v>1547</v>
      </c>
      <c r="H9">
        <v>2104</v>
      </c>
    </row>
    <row r="10" spans="1:8" hidden="1" x14ac:dyDescent="0.35">
      <c r="A10" t="s">
        <v>741</v>
      </c>
    </row>
    <row r="11" spans="1:8" hidden="1" x14ac:dyDescent="0.35">
      <c r="A11" t="s">
        <v>742</v>
      </c>
    </row>
    <row r="12" spans="1:8" hidden="1" x14ac:dyDescent="0.35">
      <c r="A12" t="s">
        <v>743</v>
      </c>
    </row>
    <row r="13" spans="1:8" hidden="1" x14ac:dyDescent="0.35">
      <c r="A13" t="s">
        <v>744</v>
      </c>
    </row>
    <row r="14" spans="1:8" hidden="1" x14ac:dyDescent="0.35">
      <c r="A14" t="s">
        <v>745</v>
      </c>
    </row>
    <row r="15" spans="1:8" hidden="1" x14ac:dyDescent="0.35">
      <c r="A15" t="s">
        <v>746</v>
      </c>
    </row>
    <row r="16" spans="1:8" hidden="1" x14ac:dyDescent="0.35">
      <c r="A16" t="s">
        <v>747</v>
      </c>
    </row>
    <row r="17" spans="1:1" hidden="1" x14ac:dyDescent="0.35">
      <c r="A17" t="s">
        <v>748</v>
      </c>
    </row>
    <row r="18" spans="1:1" hidden="1" x14ac:dyDescent="0.35">
      <c r="A18" t="s">
        <v>749</v>
      </c>
    </row>
    <row r="19" spans="1:1" hidden="1" x14ac:dyDescent="0.35">
      <c r="A19" t="s">
        <v>750</v>
      </c>
    </row>
    <row r="20" spans="1:1" hidden="1" x14ac:dyDescent="0.35">
      <c r="A20" t="s">
        <v>751</v>
      </c>
    </row>
    <row r="21" spans="1:1" hidden="1" x14ac:dyDescent="0.35">
      <c r="A21" t="s">
        <v>752</v>
      </c>
    </row>
    <row r="22" spans="1:1" hidden="1" x14ac:dyDescent="0.35">
      <c r="A22" t="s">
        <v>753</v>
      </c>
    </row>
    <row r="23" spans="1:1" hidden="1" x14ac:dyDescent="0.35">
      <c r="A23" t="s">
        <v>754</v>
      </c>
    </row>
    <row r="24" spans="1:1" hidden="1" x14ac:dyDescent="0.35">
      <c r="A24" t="s">
        <v>755</v>
      </c>
    </row>
    <row r="25" spans="1:1" hidden="1" x14ac:dyDescent="0.35">
      <c r="A25" t="s">
        <v>756</v>
      </c>
    </row>
    <row r="26" spans="1:1" hidden="1" x14ac:dyDescent="0.35">
      <c r="A26" t="s">
        <v>757</v>
      </c>
    </row>
    <row r="27" spans="1:1" hidden="1" x14ac:dyDescent="0.35">
      <c r="A27" t="s">
        <v>758</v>
      </c>
    </row>
    <row r="28" spans="1:1" hidden="1" x14ac:dyDescent="0.35">
      <c r="A28" t="s">
        <v>759</v>
      </c>
    </row>
    <row r="29" spans="1:1" hidden="1" x14ac:dyDescent="0.35">
      <c r="A29" t="s">
        <v>760</v>
      </c>
    </row>
    <row r="30" spans="1:1" hidden="1" x14ac:dyDescent="0.35">
      <c r="A30" t="s">
        <v>761</v>
      </c>
    </row>
    <row r="31" spans="1:1" hidden="1" x14ac:dyDescent="0.35">
      <c r="A31" t="s">
        <v>762</v>
      </c>
    </row>
    <row r="32" spans="1:1" hidden="1" x14ac:dyDescent="0.35">
      <c r="A32" t="s">
        <v>763</v>
      </c>
    </row>
    <row r="33" spans="1:1" hidden="1" x14ac:dyDescent="0.35">
      <c r="A33" t="s">
        <v>764</v>
      </c>
    </row>
    <row r="34" spans="1:1" hidden="1" x14ac:dyDescent="0.35">
      <c r="A34" t="s">
        <v>765</v>
      </c>
    </row>
    <row r="35" spans="1:1" hidden="1" x14ac:dyDescent="0.35">
      <c r="A35" t="s">
        <v>766</v>
      </c>
    </row>
    <row r="36" spans="1:1" hidden="1" x14ac:dyDescent="0.35">
      <c r="A36" t="s">
        <v>767</v>
      </c>
    </row>
    <row r="37" spans="1:1" hidden="1" x14ac:dyDescent="0.35">
      <c r="A37" t="s">
        <v>768</v>
      </c>
    </row>
    <row r="38" spans="1:1" hidden="1" x14ac:dyDescent="0.35">
      <c r="A38" t="s">
        <v>769</v>
      </c>
    </row>
    <row r="39" spans="1:1" hidden="1" x14ac:dyDescent="0.35">
      <c r="A39" t="s">
        <v>770</v>
      </c>
    </row>
    <row r="40" spans="1:1" hidden="1" x14ac:dyDescent="0.35">
      <c r="A40" t="s">
        <v>771</v>
      </c>
    </row>
    <row r="41" spans="1:1" hidden="1" x14ac:dyDescent="0.35">
      <c r="A41" t="s">
        <v>772</v>
      </c>
    </row>
    <row r="42" spans="1:1" hidden="1" x14ac:dyDescent="0.35">
      <c r="A42" t="s">
        <v>772</v>
      </c>
    </row>
    <row r="43" spans="1:1" hidden="1" x14ac:dyDescent="0.35">
      <c r="A43" t="s">
        <v>773</v>
      </c>
    </row>
    <row r="44" spans="1:1" hidden="1" x14ac:dyDescent="0.35">
      <c r="A44" t="s">
        <v>774</v>
      </c>
    </row>
    <row r="45" spans="1:1" hidden="1" x14ac:dyDescent="0.35">
      <c r="A45" t="s">
        <v>775</v>
      </c>
    </row>
    <row r="46" spans="1:1" hidden="1" x14ac:dyDescent="0.35">
      <c r="A46" t="s">
        <v>736</v>
      </c>
    </row>
    <row r="47" spans="1:1" hidden="1" x14ac:dyDescent="0.35">
      <c r="A47" t="s">
        <v>776</v>
      </c>
    </row>
    <row r="48" spans="1:1" hidden="1" x14ac:dyDescent="0.35">
      <c r="A48" t="s">
        <v>777</v>
      </c>
    </row>
    <row r="49" spans="1:1" hidden="1" x14ac:dyDescent="0.35">
      <c r="A49" t="s">
        <v>778</v>
      </c>
    </row>
    <row r="50" spans="1:1" hidden="1" x14ac:dyDescent="0.35">
      <c r="A50" t="s">
        <v>767</v>
      </c>
    </row>
    <row r="51" spans="1:1" hidden="1" x14ac:dyDescent="0.35">
      <c r="A51" t="s">
        <v>779</v>
      </c>
    </row>
    <row r="52" spans="1:1" hidden="1" x14ac:dyDescent="0.35">
      <c r="A52" t="s">
        <v>780</v>
      </c>
    </row>
    <row r="53" spans="1:1" hidden="1" x14ac:dyDescent="0.35">
      <c r="A53" t="s">
        <v>781</v>
      </c>
    </row>
    <row r="54" spans="1:1" hidden="1" x14ac:dyDescent="0.35">
      <c r="A54" t="s">
        <v>771</v>
      </c>
    </row>
    <row r="55" spans="1:1" hidden="1" x14ac:dyDescent="0.35">
      <c r="A55" t="s">
        <v>782</v>
      </c>
    </row>
    <row r="56" spans="1:1" hidden="1" x14ac:dyDescent="0.35">
      <c r="A56" t="s">
        <v>783</v>
      </c>
    </row>
    <row r="57" spans="1:1" hidden="1" x14ac:dyDescent="0.35">
      <c r="A57" t="s">
        <v>784</v>
      </c>
    </row>
    <row r="58" spans="1:1" hidden="1" x14ac:dyDescent="0.35">
      <c r="A58" t="s">
        <v>785</v>
      </c>
    </row>
    <row r="59" spans="1:1" hidden="1" x14ac:dyDescent="0.35">
      <c r="A59" t="s">
        <v>786</v>
      </c>
    </row>
    <row r="60" spans="1:1" hidden="1" x14ac:dyDescent="0.35">
      <c r="A60" t="s">
        <v>787</v>
      </c>
    </row>
    <row r="61" spans="1:1" hidden="1" x14ac:dyDescent="0.35">
      <c r="A61" t="s">
        <v>789</v>
      </c>
    </row>
    <row r="62" spans="1:1" hidden="1" x14ac:dyDescent="0.35">
      <c r="A62" t="s">
        <v>788</v>
      </c>
    </row>
    <row r="63" spans="1:1" hidden="1" x14ac:dyDescent="0.35">
      <c r="A63" t="s">
        <v>790</v>
      </c>
    </row>
    <row r="64" spans="1:1" hidden="1" x14ac:dyDescent="0.35">
      <c r="A64" t="s">
        <v>791</v>
      </c>
    </row>
    <row r="65" spans="1:1" hidden="1" x14ac:dyDescent="0.35">
      <c r="A65" t="s">
        <v>792</v>
      </c>
    </row>
    <row r="66" spans="1:1" hidden="1" x14ac:dyDescent="0.35">
      <c r="A66" t="s">
        <v>793</v>
      </c>
    </row>
    <row r="67" spans="1:1" hidden="1" x14ac:dyDescent="0.35">
      <c r="A67" t="s">
        <v>794</v>
      </c>
    </row>
    <row r="68" spans="1:1" hidden="1" x14ac:dyDescent="0.35">
      <c r="A68" t="s">
        <v>795</v>
      </c>
    </row>
    <row r="69" spans="1:1" hidden="1" x14ac:dyDescent="0.35">
      <c r="A69" t="s">
        <v>796</v>
      </c>
    </row>
    <row r="70" spans="1:1" hidden="1" x14ac:dyDescent="0.35">
      <c r="A70" t="s">
        <v>797</v>
      </c>
    </row>
    <row r="71" spans="1:1" hidden="1" x14ac:dyDescent="0.35">
      <c r="A71" t="s">
        <v>798</v>
      </c>
    </row>
    <row r="72" spans="1:1" hidden="1" x14ac:dyDescent="0.35">
      <c r="A72" t="s">
        <v>765</v>
      </c>
    </row>
    <row r="73" spans="1:1" hidden="1" x14ac:dyDescent="0.35">
      <c r="A73" t="s">
        <v>799</v>
      </c>
    </row>
    <row r="74" spans="1:1" hidden="1" x14ac:dyDescent="0.35">
      <c r="A74" t="s">
        <v>800</v>
      </c>
    </row>
    <row r="75" spans="1:1" hidden="1" x14ac:dyDescent="0.35">
      <c r="A75" t="s">
        <v>801</v>
      </c>
    </row>
    <row r="76" spans="1:1" hidden="1" x14ac:dyDescent="0.35">
      <c r="A76" t="s">
        <v>802</v>
      </c>
    </row>
    <row r="77" spans="1:1" hidden="1" x14ac:dyDescent="0.35">
      <c r="A77" t="s">
        <v>803</v>
      </c>
    </row>
    <row r="78" spans="1:1" hidden="1" x14ac:dyDescent="0.35">
      <c r="A78" t="s">
        <v>753</v>
      </c>
    </row>
    <row r="79" spans="1:1" hidden="1" x14ac:dyDescent="0.35">
      <c r="A79" t="s">
        <v>804</v>
      </c>
    </row>
    <row r="80" spans="1:1" hidden="1" x14ac:dyDescent="0.35">
      <c r="A80" t="s">
        <v>805</v>
      </c>
    </row>
    <row r="81" spans="1:1" hidden="1" x14ac:dyDescent="0.35">
      <c r="A81" t="s">
        <v>806</v>
      </c>
    </row>
    <row r="82" spans="1:1" hidden="1" x14ac:dyDescent="0.35">
      <c r="A82" t="s">
        <v>807</v>
      </c>
    </row>
    <row r="83" spans="1:1" hidden="1" x14ac:dyDescent="0.35">
      <c r="A83" t="s">
        <v>808</v>
      </c>
    </row>
    <row r="84" spans="1:1" hidden="1" x14ac:dyDescent="0.35">
      <c r="A84" t="s">
        <v>809</v>
      </c>
    </row>
    <row r="85" spans="1:1" hidden="1" x14ac:dyDescent="0.35">
      <c r="A85" t="s">
        <v>810</v>
      </c>
    </row>
    <row r="86" spans="1:1" hidden="1" x14ac:dyDescent="0.35">
      <c r="A86" t="s">
        <v>811</v>
      </c>
    </row>
    <row r="87" spans="1:1" hidden="1" x14ac:dyDescent="0.35">
      <c r="A87" t="s">
        <v>812</v>
      </c>
    </row>
    <row r="88" spans="1:1" hidden="1" x14ac:dyDescent="0.35">
      <c r="A88" t="s">
        <v>813</v>
      </c>
    </row>
    <row r="89" spans="1:1" hidden="1" x14ac:dyDescent="0.35">
      <c r="A89" t="s">
        <v>814</v>
      </c>
    </row>
    <row r="90" spans="1:1" hidden="1" x14ac:dyDescent="0.35">
      <c r="A90" t="s">
        <v>815</v>
      </c>
    </row>
    <row r="91" spans="1:1" hidden="1" x14ac:dyDescent="0.35">
      <c r="A91" t="s">
        <v>816</v>
      </c>
    </row>
    <row r="92" spans="1:1" hidden="1" x14ac:dyDescent="0.35">
      <c r="A92" t="s">
        <v>816</v>
      </c>
    </row>
    <row r="93" spans="1:1" hidden="1" x14ac:dyDescent="0.35">
      <c r="A93" t="s">
        <v>753</v>
      </c>
    </row>
    <row r="94" spans="1:1" hidden="1" x14ac:dyDescent="0.35">
      <c r="A94" t="s">
        <v>758</v>
      </c>
    </row>
    <row r="95" spans="1:1" hidden="1" x14ac:dyDescent="0.35">
      <c r="A95" t="s">
        <v>817</v>
      </c>
    </row>
    <row r="96" spans="1:1" hidden="1" x14ac:dyDescent="0.35">
      <c r="A96" t="s">
        <v>818</v>
      </c>
    </row>
    <row r="97" spans="1:1" hidden="1" x14ac:dyDescent="0.35">
      <c r="A97" t="s">
        <v>818</v>
      </c>
    </row>
    <row r="98" spans="1:1" hidden="1" x14ac:dyDescent="0.35">
      <c r="A98" t="s">
        <v>761</v>
      </c>
    </row>
    <row r="99" spans="1:1" hidden="1" x14ac:dyDescent="0.35">
      <c r="A99" t="s">
        <v>819</v>
      </c>
    </row>
    <row r="100" spans="1:1" hidden="1" x14ac:dyDescent="0.35">
      <c r="A100" t="s">
        <v>820</v>
      </c>
    </row>
    <row r="101" spans="1:1" hidden="1" x14ac:dyDescent="0.35">
      <c r="A101" t="s">
        <v>821</v>
      </c>
    </row>
    <row r="102" spans="1:1" hidden="1" x14ac:dyDescent="0.35">
      <c r="A102" t="s">
        <v>804</v>
      </c>
    </row>
    <row r="103" spans="1:1" hidden="1" x14ac:dyDescent="0.35">
      <c r="A103" t="s">
        <v>822</v>
      </c>
    </row>
    <row r="104" spans="1:1" hidden="1" x14ac:dyDescent="0.35">
      <c r="A104" t="s">
        <v>823</v>
      </c>
    </row>
    <row r="105" spans="1:1" hidden="1" x14ac:dyDescent="0.35">
      <c r="A105" t="s">
        <v>755</v>
      </c>
    </row>
    <row r="106" spans="1:1" hidden="1" x14ac:dyDescent="0.35">
      <c r="A106" t="s">
        <v>748</v>
      </c>
    </row>
    <row r="107" spans="1:1" hidden="1" x14ac:dyDescent="0.35">
      <c r="A107" t="s">
        <v>824</v>
      </c>
    </row>
    <row r="108" spans="1:1" hidden="1" x14ac:dyDescent="0.35">
      <c r="A108" t="s">
        <v>825</v>
      </c>
    </row>
    <row r="109" spans="1:1" hidden="1" x14ac:dyDescent="0.35">
      <c r="A109" t="s">
        <v>826</v>
      </c>
    </row>
    <row r="110" spans="1:1" hidden="1" x14ac:dyDescent="0.35">
      <c r="A110" t="s">
        <v>827</v>
      </c>
    </row>
    <row r="111" spans="1:1" hidden="1" x14ac:dyDescent="0.35">
      <c r="A111" t="s">
        <v>783</v>
      </c>
    </row>
    <row r="112" spans="1:1" hidden="1" x14ac:dyDescent="0.35">
      <c r="A112" t="s">
        <v>828</v>
      </c>
    </row>
    <row r="113" spans="1:1" hidden="1" x14ac:dyDescent="0.35">
      <c r="A113" t="s">
        <v>757</v>
      </c>
    </row>
    <row r="114" spans="1:1" hidden="1" x14ac:dyDescent="0.35">
      <c r="A114" t="s">
        <v>829</v>
      </c>
    </row>
    <row r="115" spans="1:1" hidden="1" x14ac:dyDescent="0.35">
      <c r="A115" t="s">
        <v>829</v>
      </c>
    </row>
    <row r="116" spans="1:1" hidden="1" x14ac:dyDescent="0.35">
      <c r="A116" t="s">
        <v>830</v>
      </c>
    </row>
    <row r="117" spans="1:1" hidden="1" x14ac:dyDescent="0.35">
      <c r="A117" t="s">
        <v>831</v>
      </c>
    </row>
    <row r="118" spans="1:1" hidden="1" x14ac:dyDescent="0.35">
      <c r="A118" t="s">
        <v>832</v>
      </c>
    </row>
    <row r="119" spans="1:1" hidden="1" x14ac:dyDescent="0.35">
      <c r="A119" t="s">
        <v>833</v>
      </c>
    </row>
    <row r="120" spans="1:1" hidden="1" x14ac:dyDescent="0.35">
      <c r="A120" t="s">
        <v>767</v>
      </c>
    </row>
    <row r="121" spans="1:1" hidden="1" x14ac:dyDescent="0.35">
      <c r="A121" t="s">
        <v>834</v>
      </c>
    </row>
    <row r="122" spans="1:1" hidden="1" x14ac:dyDescent="0.35">
      <c r="A122" t="s">
        <v>835</v>
      </c>
    </row>
    <row r="123" spans="1:1" hidden="1" x14ac:dyDescent="0.35">
      <c r="A123" t="s">
        <v>836</v>
      </c>
    </row>
    <row r="124" spans="1:1" hidden="1" x14ac:dyDescent="0.35">
      <c r="A124" t="s">
        <v>837</v>
      </c>
    </row>
    <row r="125" spans="1:1" hidden="1" x14ac:dyDescent="0.35">
      <c r="A125" t="s">
        <v>838</v>
      </c>
    </row>
    <row r="126" spans="1:1" hidden="1" x14ac:dyDescent="0.35">
      <c r="A126" t="s">
        <v>757</v>
      </c>
    </row>
    <row r="127" spans="1:1" hidden="1" x14ac:dyDescent="0.35">
      <c r="A127" t="s">
        <v>834</v>
      </c>
    </row>
    <row r="128" spans="1:1" hidden="1" x14ac:dyDescent="0.35">
      <c r="A128" t="s">
        <v>839</v>
      </c>
    </row>
    <row r="129" spans="1:1" hidden="1" x14ac:dyDescent="0.35">
      <c r="A129" t="s">
        <v>840</v>
      </c>
    </row>
    <row r="130" spans="1:1" hidden="1" x14ac:dyDescent="0.35">
      <c r="A130" t="s">
        <v>841</v>
      </c>
    </row>
    <row r="131" spans="1:1" hidden="1" x14ac:dyDescent="0.35">
      <c r="A131" t="s">
        <v>842</v>
      </c>
    </row>
    <row r="132" spans="1:1" hidden="1" x14ac:dyDescent="0.35">
      <c r="A132" t="s">
        <v>843</v>
      </c>
    </row>
    <row r="133" spans="1:1" hidden="1" x14ac:dyDescent="0.35">
      <c r="A133" t="s">
        <v>844</v>
      </c>
    </row>
    <row r="134" spans="1:1" hidden="1" x14ac:dyDescent="0.35">
      <c r="A134" t="s">
        <v>845</v>
      </c>
    </row>
    <row r="135" spans="1:1" hidden="1" x14ac:dyDescent="0.35">
      <c r="A135" t="s">
        <v>846</v>
      </c>
    </row>
    <row r="136" spans="1:1" hidden="1" x14ac:dyDescent="0.35">
      <c r="A136" t="s">
        <v>844</v>
      </c>
    </row>
    <row r="137" spans="1:1" hidden="1" x14ac:dyDescent="0.35">
      <c r="A137" t="s">
        <v>847</v>
      </c>
    </row>
    <row r="138" spans="1:1" hidden="1" x14ac:dyDescent="0.35">
      <c r="A138" t="s">
        <v>847</v>
      </c>
    </row>
    <row r="139" spans="1:1" hidden="1" x14ac:dyDescent="0.35">
      <c r="A139" t="s">
        <v>848</v>
      </c>
    </row>
    <row r="140" spans="1:1" hidden="1" x14ac:dyDescent="0.35">
      <c r="A140" t="s">
        <v>849</v>
      </c>
    </row>
    <row r="141" spans="1:1" hidden="1" x14ac:dyDescent="0.35">
      <c r="A141" t="s">
        <v>761</v>
      </c>
    </row>
    <row r="142" spans="1:1" hidden="1" x14ac:dyDescent="0.35">
      <c r="A142" t="s">
        <v>850</v>
      </c>
    </row>
    <row r="143" spans="1:1" hidden="1" x14ac:dyDescent="0.35">
      <c r="A143" t="s">
        <v>851</v>
      </c>
    </row>
    <row r="144" spans="1:1" hidden="1" x14ac:dyDescent="0.35">
      <c r="A144" t="s">
        <v>852</v>
      </c>
    </row>
    <row r="145" spans="1:1" hidden="1" x14ac:dyDescent="0.35">
      <c r="A145" t="s">
        <v>853</v>
      </c>
    </row>
    <row r="146" spans="1:1" hidden="1" x14ac:dyDescent="0.35">
      <c r="A146" t="s">
        <v>854</v>
      </c>
    </row>
    <row r="147" spans="1:1" hidden="1" x14ac:dyDescent="0.35">
      <c r="A147" t="s">
        <v>855</v>
      </c>
    </row>
    <row r="148" spans="1:1" hidden="1" x14ac:dyDescent="0.35">
      <c r="A148" t="s">
        <v>856</v>
      </c>
    </row>
    <row r="149" spans="1:1" hidden="1" x14ac:dyDescent="0.35">
      <c r="A149" t="s">
        <v>857</v>
      </c>
    </row>
    <row r="150" spans="1:1" hidden="1" x14ac:dyDescent="0.35">
      <c r="A150" t="s">
        <v>858</v>
      </c>
    </row>
    <row r="151" spans="1:1" hidden="1" x14ac:dyDescent="0.35">
      <c r="A151" t="s">
        <v>859</v>
      </c>
    </row>
    <row r="152" spans="1:1" hidden="1" x14ac:dyDescent="0.35">
      <c r="A152" t="s">
        <v>860</v>
      </c>
    </row>
    <row r="153" spans="1:1" hidden="1" x14ac:dyDescent="0.35">
      <c r="A153" t="s">
        <v>861</v>
      </c>
    </row>
    <row r="154" spans="1:1" hidden="1" x14ac:dyDescent="0.35">
      <c r="A154" t="s">
        <v>862</v>
      </c>
    </row>
    <row r="155" spans="1:1" hidden="1" x14ac:dyDescent="0.35">
      <c r="A155" t="s">
        <v>863</v>
      </c>
    </row>
    <row r="156" spans="1:1" hidden="1" x14ac:dyDescent="0.35">
      <c r="A156" t="s">
        <v>864</v>
      </c>
    </row>
    <row r="157" spans="1:1" hidden="1" x14ac:dyDescent="0.35">
      <c r="A157" t="s">
        <v>865</v>
      </c>
    </row>
    <row r="158" spans="1:1" hidden="1" x14ac:dyDescent="0.35">
      <c r="A158" t="s">
        <v>866</v>
      </c>
    </row>
    <row r="159" spans="1:1" hidden="1" x14ac:dyDescent="0.35">
      <c r="A159" t="s">
        <v>867</v>
      </c>
    </row>
    <row r="160" spans="1:1" hidden="1" x14ac:dyDescent="0.35">
      <c r="A160" t="s">
        <v>868</v>
      </c>
    </row>
    <row r="161" spans="1:1" hidden="1" x14ac:dyDescent="0.35">
      <c r="A161" t="s">
        <v>869</v>
      </c>
    </row>
    <row r="162" spans="1:1" hidden="1" x14ac:dyDescent="0.35">
      <c r="A162" t="s">
        <v>870</v>
      </c>
    </row>
    <row r="163" spans="1:1" hidden="1" x14ac:dyDescent="0.35">
      <c r="A163" t="s">
        <v>871</v>
      </c>
    </row>
    <row r="164" spans="1:1" hidden="1" x14ac:dyDescent="0.35">
      <c r="A164" t="s">
        <v>872</v>
      </c>
    </row>
    <row r="165" spans="1:1" hidden="1" x14ac:dyDescent="0.35">
      <c r="A165" t="s">
        <v>873</v>
      </c>
    </row>
    <row r="166" spans="1:1" hidden="1" x14ac:dyDescent="0.35">
      <c r="A166" t="s">
        <v>874</v>
      </c>
    </row>
    <row r="167" spans="1:1" hidden="1" x14ac:dyDescent="0.35">
      <c r="A167" t="s">
        <v>874</v>
      </c>
    </row>
    <row r="168" spans="1:1" hidden="1" x14ac:dyDescent="0.35">
      <c r="A168" t="s">
        <v>875</v>
      </c>
    </row>
    <row r="169" spans="1:1" hidden="1" x14ac:dyDescent="0.35">
      <c r="A169" t="s">
        <v>876</v>
      </c>
    </row>
    <row r="170" spans="1:1" hidden="1" x14ac:dyDescent="0.35">
      <c r="A170" t="s">
        <v>876</v>
      </c>
    </row>
    <row r="171" spans="1:1" hidden="1" x14ac:dyDescent="0.35">
      <c r="A171" t="s">
        <v>877</v>
      </c>
    </row>
    <row r="172" spans="1:1" hidden="1" x14ac:dyDescent="0.35">
      <c r="A172" t="s">
        <v>878</v>
      </c>
    </row>
    <row r="173" spans="1:1" hidden="1" x14ac:dyDescent="0.35">
      <c r="A173" t="s">
        <v>879</v>
      </c>
    </row>
    <row r="174" spans="1:1" hidden="1" x14ac:dyDescent="0.35">
      <c r="A174" t="s">
        <v>880</v>
      </c>
    </row>
    <row r="175" spans="1:1" hidden="1" x14ac:dyDescent="0.35">
      <c r="A175" t="s">
        <v>875</v>
      </c>
    </row>
    <row r="176" spans="1:1" hidden="1" x14ac:dyDescent="0.35">
      <c r="A176" t="s">
        <v>881</v>
      </c>
    </row>
    <row r="177" spans="1:1" hidden="1" x14ac:dyDescent="0.35">
      <c r="A177" t="s">
        <v>882</v>
      </c>
    </row>
    <row r="178" spans="1:1" hidden="1" x14ac:dyDescent="0.35">
      <c r="A178" t="s">
        <v>883</v>
      </c>
    </row>
    <row r="179" spans="1:1" hidden="1" x14ac:dyDescent="0.35">
      <c r="A179" t="s">
        <v>884</v>
      </c>
    </row>
    <row r="180" spans="1:1" hidden="1" x14ac:dyDescent="0.35">
      <c r="A180" t="s">
        <v>885</v>
      </c>
    </row>
    <row r="181" spans="1:1" hidden="1" x14ac:dyDescent="0.35">
      <c r="A181" t="s">
        <v>886</v>
      </c>
    </row>
    <row r="182" spans="1:1" hidden="1" x14ac:dyDescent="0.35">
      <c r="A182" t="s">
        <v>887</v>
      </c>
    </row>
    <row r="183" spans="1:1" hidden="1" x14ac:dyDescent="0.35">
      <c r="A183" t="s">
        <v>888</v>
      </c>
    </row>
    <row r="184" spans="1:1" hidden="1" x14ac:dyDescent="0.35">
      <c r="A184" t="s">
        <v>889</v>
      </c>
    </row>
    <row r="185" spans="1:1" hidden="1" x14ac:dyDescent="0.35">
      <c r="A185" t="s">
        <v>890</v>
      </c>
    </row>
    <row r="186" spans="1:1" hidden="1" x14ac:dyDescent="0.35">
      <c r="A186" t="s">
        <v>891</v>
      </c>
    </row>
    <row r="187" spans="1:1" hidden="1" x14ac:dyDescent="0.35">
      <c r="A187" t="s">
        <v>892</v>
      </c>
    </row>
    <row r="188" spans="1:1" hidden="1" x14ac:dyDescent="0.35">
      <c r="A188" t="s">
        <v>893</v>
      </c>
    </row>
    <row r="189" spans="1:1" hidden="1" x14ac:dyDescent="0.35">
      <c r="A189" t="s">
        <v>894</v>
      </c>
    </row>
    <row r="190" spans="1:1" hidden="1" x14ac:dyDescent="0.35">
      <c r="A190" t="s">
        <v>895</v>
      </c>
    </row>
    <row r="191" spans="1:1" hidden="1" x14ac:dyDescent="0.35">
      <c r="A191" t="s">
        <v>896</v>
      </c>
    </row>
    <row r="192" spans="1:1" hidden="1" x14ac:dyDescent="0.35">
      <c r="A192" t="s">
        <v>897</v>
      </c>
    </row>
    <row r="193" spans="1:1" hidden="1" x14ac:dyDescent="0.35">
      <c r="A193" t="s">
        <v>884</v>
      </c>
    </row>
    <row r="194" spans="1:1" hidden="1" x14ac:dyDescent="0.35">
      <c r="A194" t="s">
        <v>898</v>
      </c>
    </row>
    <row r="195" spans="1:1" hidden="1" x14ac:dyDescent="0.35">
      <c r="A195" t="s">
        <v>899</v>
      </c>
    </row>
    <row r="196" spans="1:1" hidden="1" x14ac:dyDescent="0.35">
      <c r="A196" t="s">
        <v>900</v>
      </c>
    </row>
    <row r="197" spans="1:1" hidden="1" x14ac:dyDescent="0.35">
      <c r="A197" t="s">
        <v>901</v>
      </c>
    </row>
    <row r="198" spans="1:1" hidden="1" x14ac:dyDescent="0.35">
      <c r="A198" t="s">
        <v>902</v>
      </c>
    </row>
    <row r="199" spans="1:1" hidden="1" x14ac:dyDescent="0.35">
      <c r="A199" t="s">
        <v>884</v>
      </c>
    </row>
    <row r="200" spans="1:1" hidden="1" x14ac:dyDescent="0.35">
      <c r="A200" t="s">
        <v>878</v>
      </c>
    </row>
    <row r="201" spans="1:1" hidden="1" x14ac:dyDescent="0.35">
      <c r="A201" t="s">
        <v>904</v>
      </c>
    </row>
    <row r="202" spans="1:1" hidden="1" x14ac:dyDescent="0.35">
      <c r="A202" t="s">
        <v>903</v>
      </c>
    </row>
    <row r="203" spans="1:1" hidden="1" x14ac:dyDescent="0.35">
      <c r="A203" t="s">
        <v>905</v>
      </c>
    </row>
    <row r="204" spans="1:1" hidden="1" x14ac:dyDescent="0.35">
      <c r="A204" t="s">
        <v>906</v>
      </c>
    </row>
    <row r="205" spans="1:1" hidden="1" x14ac:dyDescent="0.35">
      <c r="A205" t="s">
        <v>907</v>
      </c>
    </row>
    <row r="206" spans="1:1" hidden="1" x14ac:dyDescent="0.35">
      <c r="A206" t="s">
        <v>908</v>
      </c>
    </row>
    <row r="207" spans="1:1" hidden="1" x14ac:dyDescent="0.35">
      <c r="A207" t="s">
        <v>909</v>
      </c>
    </row>
    <row r="208" spans="1:1" hidden="1" x14ac:dyDescent="0.35">
      <c r="A208" t="s">
        <v>882</v>
      </c>
    </row>
    <row r="209" spans="1:1" hidden="1" x14ac:dyDescent="0.35">
      <c r="A209" t="s">
        <v>868</v>
      </c>
    </row>
    <row r="210" spans="1:1" hidden="1" x14ac:dyDescent="0.35">
      <c r="A210" t="s">
        <v>910</v>
      </c>
    </row>
    <row r="211" spans="1:1" hidden="1" x14ac:dyDescent="0.35">
      <c r="A211" t="s">
        <v>910</v>
      </c>
    </row>
    <row r="212" spans="1:1" hidden="1" x14ac:dyDescent="0.35">
      <c r="A212" t="s">
        <v>911</v>
      </c>
    </row>
    <row r="213" spans="1:1" hidden="1" x14ac:dyDescent="0.35">
      <c r="A213" t="s">
        <v>912</v>
      </c>
    </row>
    <row r="214" spans="1:1" hidden="1" x14ac:dyDescent="0.35">
      <c r="A214" t="s">
        <v>913</v>
      </c>
    </row>
    <row r="215" spans="1:1" hidden="1" x14ac:dyDescent="0.35">
      <c r="A215" t="s">
        <v>914</v>
      </c>
    </row>
    <row r="216" spans="1:1" hidden="1" x14ac:dyDescent="0.35">
      <c r="A216" t="s">
        <v>915</v>
      </c>
    </row>
    <row r="217" spans="1:1" hidden="1" x14ac:dyDescent="0.35">
      <c r="A217" t="s">
        <v>916</v>
      </c>
    </row>
    <row r="218" spans="1:1" hidden="1" x14ac:dyDescent="0.35">
      <c r="A218" t="s">
        <v>917</v>
      </c>
    </row>
    <row r="219" spans="1:1" hidden="1" x14ac:dyDescent="0.35">
      <c r="A219" t="s">
        <v>918</v>
      </c>
    </row>
    <row r="220" spans="1:1" hidden="1" x14ac:dyDescent="0.35">
      <c r="A220" t="s">
        <v>919</v>
      </c>
    </row>
    <row r="221" spans="1:1" hidden="1" x14ac:dyDescent="0.35">
      <c r="A221" t="s">
        <v>920</v>
      </c>
    </row>
    <row r="222" spans="1:1" hidden="1" x14ac:dyDescent="0.35">
      <c r="A222" t="s">
        <v>921</v>
      </c>
    </row>
    <row r="223" spans="1:1" hidden="1" x14ac:dyDescent="0.35">
      <c r="A223" t="s">
        <v>907</v>
      </c>
    </row>
    <row r="224" spans="1:1" hidden="1" x14ac:dyDescent="0.35">
      <c r="A224" t="s">
        <v>922</v>
      </c>
    </row>
    <row r="225" spans="1:1" hidden="1" x14ac:dyDescent="0.35">
      <c r="A225" t="s">
        <v>923</v>
      </c>
    </row>
    <row r="226" spans="1:1" hidden="1" x14ac:dyDescent="0.35">
      <c r="A226" t="s">
        <v>923</v>
      </c>
    </row>
    <row r="227" spans="1:1" hidden="1" x14ac:dyDescent="0.35">
      <c r="A227" t="s">
        <v>924</v>
      </c>
    </row>
    <row r="228" spans="1:1" hidden="1" x14ac:dyDescent="0.35">
      <c r="A228" t="s">
        <v>925</v>
      </c>
    </row>
    <row r="229" spans="1:1" hidden="1" x14ac:dyDescent="0.35">
      <c r="A229" t="s">
        <v>926</v>
      </c>
    </row>
    <row r="230" spans="1:1" hidden="1" x14ac:dyDescent="0.35">
      <c r="A230" t="s">
        <v>927</v>
      </c>
    </row>
    <row r="231" spans="1:1" hidden="1" x14ac:dyDescent="0.35">
      <c r="A231" t="s">
        <v>928</v>
      </c>
    </row>
    <row r="232" spans="1:1" hidden="1" x14ac:dyDescent="0.35">
      <c r="A232" t="s">
        <v>929</v>
      </c>
    </row>
    <row r="233" spans="1:1" hidden="1" x14ac:dyDescent="0.35">
      <c r="A233" t="s">
        <v>929</v>
      </c>
    </row>
    <row r="234" spans="1:1" hidden="1" x14ac:dyDescent="0.35">
      <c r="A234" t="s">
        <v>930</v>
      </c>
    </row>
    <row r="235" spans="1:1" hidden="1" x14ac:dyDescent="0.35">
      <c r="A235" t="s">
        <v>932</v>
      </c>
    </row>
    <row r="236" spans="1:1" hidden="1" x14ac:dyDescent="0.35">
      <c r="A236" t="s">
        <v>931</v>
      </c>
    </row>
    <row r="237" spans="1:1" hidden="1" x14ac:dyDescent="0.35">
      <c r="A237" t="s">
        <v>933</v>
      </c>
    </row>
    <row r="238" spans="1:1" hidden="1" x14ac:dyDescent="0.35">
      <c r="A238" t="s">
        <v>864</v>
      </c>
    </row>
    <row r="239" spans="1:1" hidden="1" x14ac:dyDescent="0.35">
      <c r="A239" t="s">
        <v>934</v>
      </c>
    </row>
    <row r="240" spans="1:1" hidden="1" x14ac:dyDescent="0.35">
      <c r="A240" t="s">
        <v>935</v>
      </c>
    </row>
    <row r="241" spans="1:1" hidden="1" x14ac:dyDescent="0.35">
      <c r="A241" t="s">
        <v>936</v>
      </c>
    </row>
    <row r="242" spans="1:1" hidden="1" x14ac:dyDescent="0.35">
      <c r="A242" t="s">
        <v>937</v>
      </c>
    </row>
    <row r="243" spans="1:1" hidden="1" x14ac:dyDescent="0.35">
      <c r="A243" t="s">
        <v>938</v>
      </c>
    </row>
    <row r="244" spans="1:1" hidden="1" x14ac:dyDescent="0.35">
      <c r="A244" t="s">
        <v>939</v>
      </c>
    </row>
    <row r="245" spans="1:1" hidden="1" x14ac:dyDescent="0.35">
      <c r="A245" t="s">
        <v>940</v>
      </c>
    </row>
    <row r="246" spans="1:1" hidden="1" x14ac:dyDescent="0.35">
      <c r="A246" t="s">
        <v>941</v>
      </c>
    </row>
    <row r="247" spans="1:1" hidden="1" x14ac:dyDescent="0.35">
      <c r="A247" t="s">
        <v>942</v>
      </c>
    </row>
    <row r="248" spans="1:1" hidden="1" x14ac:dyDescent="0.35">
      <c r="A248" t="s">
        <v>943</v>
      </c>
    </row>
    <row r="249" spans="1:1" hidden="1" x14ac:dyDescent="0.35">
      <c r="A249" t="s">
        <v>944</v>
      </c>
    </row>
    <row r="250" spans="1:1" hidden="1" x14ac:dyDescent="0.35">
      <c r="A250" t="s">
        <v>945</v>
      </c>
    </row>
    <row r="251" spans="1:1" hidden="1" x14ac:dyDescent="0.35">
      <c r="A251" t="s">
        <v>892</v>
      </c>
    </row>
    <row r="252" spans="1:1" hidden="1" x14ac:dyDescent="0.35">
      <c r="A252" t="s">
        <v>946</v>
      </c>
    </row>
    <row r="253" spans="1:1" hidden="1" x14ac:dyDescent="0.35">
      <c r="A253" t="s">
        <v>946</v>
      </c>
    </row>
    <row r="254" spans="1:1" hidden="1" x14ac:dyDescent="0.35">
      <c r="A254" t="s">
        <v>947</v>
      </c>
    </row>
    <row r="255" spans="1:1" hidden="1" x14ac:dyDescent="0.35">
      <c r="A255" t="s">
        <v>948</v>
      </c>
    </row>
    <row r="256" spans="1:1" hidden="1" x14ac:dyDescent="0.35">
      <c r="A256" t="s">
        <v>949</v>
      </c>
    </row>
    <row r="257" spans="1:1" hidden="1" x14ac:dyDescent="0.35">
      <c r="A257" t="s">
        <v>950</v>
      </c>
    </row>
    <row r="258" spans="1:1" hidden="1" x14ac:dyDescent="0.35">
      <c r="A258" t="s">
        <v>951</v>
      </c>
    </row>
    <row r="259" spans="1:1" hidden="1" x14ac:dyDescent="0.35">
      <c r="A259" t="s">
        <v>952</v>
      </c>
    </row>
    <row r="260" spans="1:1" hidden="1" x14ac:dyDescent="0.35">
      <c r="A260" t="s">
        <v>953</v>
      </c>
    </row>
    <row r="261" spans="1:1" hidden="1" x14ac:dyDescent="0.35">
      <c r="A261" t="s">
        <v>954</v>
      </c>
    </row>
    <row r="262" spans="1:1" hidden="1" x14ac:dyDescent="0.35">
      <c r="A262" t="s">
        <v>955</v>
      </c>
    </row>
    <row r="263" spans="1:1" hidden="1" x14ac:dyDescent="0.35">
      <c r="A263" t="s">
        <v>956</v>
      </c>
    </row>
    <row r="264" spans="1:1" hidden="1" x14ac:dyDescent="0.35">
      <c r="A264" t="s">
        <v>875</v>
      </c>
    </row>
    <row r="265" spans="1:1" hidden="1" x14ac:dyDescent="0.35">
      <c r="A265" t="s">
        <v>957</v>
      </c>
    </row>
    <row r="266" spans="1:1" hidden="1" x14ac:dyDescent="0.35">
      <c r="A266" t="s">
        <v>958</v>
      </c>
    </row>
    <row r="267" spans="1:1" hidden="1" x14ac:dyDescent="0.35">
      <c r="A267" t="s">
        <v>959</v>
      </c>
    </row>
    <row r="268" spans="1:1" hidden="1" x14ac:dyDescent="0.35">
      <c r="A268" t="s">
        <v>960</v>
      </c>
    </row>
    <row r="269" spans="1:1" hidden="1" x14ac:dyDescent="0.35">
      <c r="A269" t="s">
        <v>909</v>
      </c>
    </row>
    <row r="270" spans="1:1" hidden="1" x14ac:dyDescent="0.35">
      <c r="A270" t="s">
        <v>961</v>
      </c>
    </row>
    <row r="271" spans="1:1" hidden="1" x14ac:dyDescent="0.35">
      <c r="A271" t="s">
        <v>962</v>
      </c>
    </row>
    <row r="272" spans="1:1" hidden="1" x14ac:dyDescent="0.35">
      <c r="A272" t="s">
        <v>963</v>
      </c>
    </row>
    <row r="273" spans="1:1" hidden="1" x14ac:dyDescent="0.35">
      <c r="A273" t="s">
        <v>964</v>
      </c>
    </row>
    <row r="274" spans="1:1" hidden="1" x14ac:dyDescent="0.35">
      <c r="A274" t="s">
        <v>965</v>
      </c>
    </row>
    <row r="275" spans="1:1" hidden="1" x14ac:dyDescent="0.35">
      <c r="A275" t="s">
        <v>966</v>
      </c>
    </row>
    <row r="276" spans="1:1" hidden="1" x14ac:dyDescent="0.35">
      <c r="A276" t="s">
        <v>948</v>
      </c>
    </row>
    <row r="277" spans="1:1" hidden="1" x14ac:dyDescent="0.35">
      <c r="A277" t="s">
        <v>967</v>
      </c>
    </row>
    <row r="278" spans="1:1" hidden="1" x14ac:dyDescent="0.35">
      <c r="A278" t="s">
        <v>968</v>
      </c>
    </row>
    <row r="279" spans="1:1" hidden="1" x14ac:dyDescent="0.35">
      <c r="A279" t="s">
        <v>969</v>
      </c>
    </row>
    <row r="280" spans="1:1" hidden="1" x14ac:dyDescent="0.35">
      <c r="A280" t="s">
        <v>970</v>
      </c>
    </row>
    <row r="281" spans="1:1" hidden="1" x14ac:dyDescent="0.35">
      <c r="A281" t="s">
        <v>971</v>
      </c>
    </row>
    <row r="282" spans="1:1" hidden="1" x14ac:dyDescent="0.35">
      <c r="A282" t="s">
        <v>972</v>
      </c>
    </row>
    <row r="283" spans="1:1" hidden="1" x14ac:dyDescent="0.35">
      <c r="A283" t="s">
        <v>927</v>
      </c>
    </row>
    <row r="284" spans="1:1" hidden="1" x14ac:dyDescent="0.35">
      <c r="A284" t="s">
        <v>973</v>
      </c>
    </row>
    <row r="285" spans="1:1" hidden="1" x14ac:dyDescent="0.35">
      <c r="A285" t="s">
        <v>974</v>
      </c>
    </row>
    <row r="286" spans="1:1" hidden="1" x14ac:dyDescent="0.35">
      <c r="A286" t="s">
        <v>929</v>
      </c>
    </row>
    <row r="287" spans="1:1" hidden="1" x14ac:dyDescent="0.35">
      <c r="A287" t="s">
        <v>975</v>
      </c>
    </row>
    <row r="288" spans="1:1" hidden="1" x14ac:dyDescent="0.35">
      <c r="A288" t="s">
        <v>976</v>
      </c>
    </row>
    <row r="289" spans="1:1" hidden="1" x14ac:dyDescent="0.35">
      <c r="A289" t="s">
        <v>977</v>
      </c>
    </row>
    <row r="290" spans="1:1" hidden="1" x14ac:dyDescent="0.35">
      <c r="A290" t="s">
        <v>978</v>
      </c>
    </row>
    <row r="291" spans="1:1" hidden="1" x14ac:dyDescent="0.35">
      <c r="A291" t="s">
        <v>979</v>
      </c>
    </row>
    <row r="292" spans="1:1" hidden="1" x14ac:dyDescent="0.35">
      <c r="A292" t="s">
        <v>980</v>
      </c>
    </row>
    <row r="293" spans="1:1" hidden="1" x14ac:dyDescent="0.35">
      <c r="A293" t="s">
        <v>981</v>
      </c>
    </row>
    <row r="294" spans="1:1" hidden="1" x14ac:dyDescent="0.35">
      <c r="A294" t="s">
        <v>869</v>
      </c>
    </row>
    <row r="295" spans="1:1" hidden="1" x14ac:dyDescent="0.35">
      <c r="A295" t="s">
        <v>982</v>
      </c>
    </row>
    <row r="296" spans="1:1" hidden="1" x14ac:dyDescent="0.35">
      <c r="A296" t="s">
        <v>983</v>
      </c>
    </row>
    <row r="297" spans="1:1" hidden="1" x14ac:dyDescent="0.35">
      <c r="A297" t="s">
        <v>985</v>
      </c>
    </row>
    <row r="298" spans="1:1" hidden="1" x14ac:dyDescent="0.35">
      <c r="A298" t="s">
        <v>984</v>
      </c>
    </row>
    <row r="299" spans="1:1" hidden="1" x14ac:dyDescent="0.35">
      <c r="A299" t="s">
        <v>986</v>
      </c>
    </row>
    <row r="300" spans="1:1" hidden="1" x14ac:dyDescent="0.35">
      <c r="A300" t="s">
        <v>987</v>
      </c>
    </row>
    <row r="301" spans="1:1" hidden="1" x14ac:dyDescent="0.35">
      <c r="A301" t="s">
        <v>988</v>
      </c>
    </row>
    <row r="302" spans="1:1" hidden="1" x14ac:dyDescent="0.35">
      <c r="A302" t="s">
        <v>989</v>
      </c>
    </row>
    <row r="303" spans="1:1" hidden="1" x14ac:dyDescent="0.35">
      <c r="A303" t="s">
        <v>905</v>
      </c>
    </row>
    <row r="304" spans="1:1" hidden="1" x14ac:dyDescent="0.35">
      <c r="A304" t="s">
        <v>990</v>
      </c>
    </row>
    <row r="305" spans="1:1" hidden="1" x14ac:dyDescent="0.35">
      <c r="A305" t="s">
        <v>990</v>
      </c>
    </row>
    <row r="306" spans="1:1" hidden="1" x14ac:dyDescent="0.35">
      <c r="A306" t="s">
        <v>991</v>
      </c>
    </row>
    <row r="307" spans="1:1" hidden="1" x14ac:dyDescent="0.35">
      <c r="A307" t="s">
        <v>992</v>
      </c>
    </row>
    <row r="308" spans="1:1" hidden="1" x14ac:dyDescent="0.35">
      <c r="A308" t="s">
        <v>993</v>
      </c>
    </row>
    <row r="309" spans="1:1" hidden="1" x14ac:dyDescent="0.35">
      <c r="A309" t="s">
        <v>864</v>
      </c>
    </row>
    <row r="310" spans="1:1" hidden="1" x14ac:dyDescent="0.35">
      <c r="A310" t="s">
        <v>994</v>
      </c>
    </row>
    <row r="311" spans="1:1" hidden="1" x14ac:dyDescent="0.35">
      <c r="A311" t="s">
        <v>868</v>
      </c>
    </row>
    <row r="312" spans="1:1" hidden="1" x14ac:dyDescent="0.35">
      <c r="A312" t="s">
        <v>995</v>
      </c>
    </row>
    <row r="313" spans="1:1" hidden="1" x14ac:dyDescent="0.35">
      <c r="A313" t="s">
        <v>996</v>
      </c>
    </row>
    <row r="314" spans="1:1" hidden="1" x14ac:dyDescent="0.35">
      <c r="A314" t="s">
        <v>997</v>
      </c>
    </row>
    <row r="315" spans="1:1" hidden="1" x14ac:dyDescent="0.35">
      <c r="A315" t="s">
        <v>998</v>
      </c>
    </row>
    <row r="316" spans="1:1" hidden="1" x14ac:dyDescent="0.35">
      <c r="A316" t="s">
        <v>999</v>
      </c>
    </row>
    <row r="317" spans="1:1" hidden="1" x14ac:dyDescent="0.35">
      <c r="A317" t="s">
        <v>1000</v>
      </c>
    </row>
    <row r="318" spans="1:1" hidden="1" x14ac:dyDescent="0.35">
      <c r="A318" t="s">
        <v>1001</v>
      </c>
    </row>
    <row r="319" spans="1:1" hidden="1" x14ac:dyDescent="0.35">
      <c r="A319" t="s">
        <v>1002</v>
      </c>
    </row>
    <row r="320" spans="1:1" hidden="1" x14ac:dyDescent="0.35">
      <c r="A320" t="s">
        <v>1003</v>
      </c>
    </row>
    <row r="321" spans="1:1" hidden="1" x14ac:dyDescent="0.35">
      <c r="A321" t="s">
        <v>889</v>
      </c>
    </row>
    <row r="322" spans="1:1" hidden="1" x14ac:dyDescent="0.35">
      <c r="A322" t="s">
        <v>1004</v>
      </c>
    </row>
    <row r="323" spans="1:1" hidden="1" x14ac:dyDescent="0.35">
      <c r="A323" t="s">
        <v>873</v>
      </c>
    </row>
    <row r="324" spans="1:1" hidden="1" x14ac:dyDescent="0.35">
      <c r="A324" t="s">
        <v>1005</v>
      </c>
    </row>
    <row r="325" spans="1:1" hidden="1" x14ac:dyDescent="0.35">
      <c r="A325" t="s">
        <v>1006</v>
      </c>
    </row>
    <row r="326" spans="1:1" hidden="1" x14ac:dyDescent="0.35">
      <c r="A326" t="s">
        <v>1007</v>
      </c>
    </row>
    <row r="327" spans="1:1" hidden="1" x14ac:dyDescent="0.35">
      <c r="A327" t="s">
        <v>1008</v>
      </c>
    </row>
    <row r="328" spans="1:1" hidden="1" x14ac:dyDescent="0.35">
      <c r="A328" t="s">
        <v>1009</v>
      </c>
    </row>
    <row r="329" spans="1:1" hidden="1" x14ac:dyDescent="0.35">
      <c r="A329" t="s">
        <v>950</v>
      </c>
    </row>
    <row r="330" spans="1:1" hidden="1" x14ac:dyDescent="0.35">
      <c r="A330" t="s">
        <v>1010</v>
      </c>
    </row>
    <row r="331" spans="1:1" hidden="1" x14ac:dyDescent="0.35">
      <c r="A331" t="s">
        <v>967</v>
      </c>
    </row>
    <row r="332" spans="1:1" hidden="1" x14ac:dyDescent="0.35">
      <c r="A332" t="s">
        <v>1011</v>
      </c>
    </row>
    <row r="333" spans="1:1" hidden="1" x14ac:dyDescent="0.35">
      <c r="A333" t="s">
        <v>1012</v>
      </c>
    </row>
    <row r="334" spans="1:1" hidden="1" x14ac:dyDescent="0.35">
      <c r="A334" t="s">
        <v>1013</v>
      </c>
    </row>
    <row r="335" spans="1:1" hidden="1" x14ac:dyDescent="0.35">
      <c r="A335" t="s">
        <v>1014</v>
      </c>
    </row>
    <row r="336" spans="1:1" hidden="1" x14ac:dyDescent="0.35">
      <c r="A336" t="s">
        <v>1015</v>
      </c>
    </row>
    <row r="337" spans="1:1" hidden="1" x14ac:dyDescent="0.35">
      <c r="A337" t="s">
        <v>1016</v>
      </c>
    </row>
    <row r="338" spans="1:1" hidden="1" x14ac:dyDescent="0.35">
      <c r="A338" t="s">
        <v>1017</v>
      </c>
    </row>
    <row r="339" spans="1:1" hidden="1" x14ac:dyDescent="0.35">
      <c r="A339" t="s">
        <v>1018</v>
      </c>
    </row>
    <row r="340" spans="1:1" hidden="1" x14ac:dyDescent="0.35">
      <c r="A340" t="s">
        <v>1019</v>
      </c>
    </row>
    <row r="341" spans="1:1" hidden="1" x14ac:dyDescent="0.35">
      <c r="A341" t="s">
        <v>1020</v>
      </c>
    </row>
    <row r="342" spans="1:1" hidden="1" x14ac:dyDescent="0.35">
      <c r="A342" t="s">
        <v>1021</v>
      </c>
    </row>
    <row r="343" spans="1:1" hidden="1" x14ac:dyDescent="0.35">
      <c r="A343" t="s">
        <v>1022</v>
      </c>
    </row>
    <row r="344" spans="1:1" hidden="1" x14ac:dyDescent="0.35">
      <c r="A344" t="s">
        <v>1022</v>
      </c>
    </row>
    <row r="345" spans="1:1" hidden="1" x14ac:dyDescent="0.35">
      <c r="A345" t="s">
        <v>1023</v>
      </c>
    </row>
    <row r="346" spans="1:1" hidden="1" x14ac:dyDescent="0.35">
      <c r="A346" t="s">
        <v>1024</v>
      </c>
    </row>
    <row r="347" spans="1:1" hidden="1" x14ac:dyDescent="0.35">
      <c r="A347" t="s">
        <v>1025</v>
      </c>
    </row>
    <row r="348" spans="1:1" hidden="1" x14ac:dyDescent="0.35">
      <c r="A348" t="s">
        <v>955</v>
      </c>
    </row>
    <row r="349" spans="1:1" hidden="1" x14ac:dyDescent="0.35">
      <c r="A349" t="s">
        <v>1026</v>
      </c>
    </row>
    <row r="350" spans="1:1" hidden="1" x14ac:dyDescent="0.35">
      <c r="A350" t="s">
        <v>1027</v>
      </c>
    </row>
    <row r="351" spans="1:1" hidden="1" x14ac:dyDescent="0.35">
      <c r="A351" t="s">
        <v>868</v>
      </c>
    </row>
    <row r="352" spans="1:1" hidden="1" x14ac:dyDescent="0.35">
      <c r="A352" t="s">
        <v>1028</v>
      </c>
    </row>
    <row r="353" spans="1:1" hidden="1" x14ac:dyDescent="0.35">
      <c r="A353" t="s">
        <v>1029</v>
      </c>
    </row>
    <row r="354" spans="1:1" hidden="1" x14ac:dyDescent="0.35">
      <c r="A354" t="s">
        <v>1029</v>
      </c>
    </row>
    <row r="355" spans="1:1" hidden="1" x14ac:dyDescent="0.35">
      <c r="A355" t="s">
        <v>1030</v>
      </c>
    </row>
    <row r="356" spans="1:1" hidden="1" x14ac:dyDescent="0.35">
      <c r="A356" t="s">
        <v>1031</v>
      </c>
    </row>
    <row r="357" spans="1:1" hidden="1" x14ac:dyDescent="0.35">
      <c r="A357" t="s">
        <v>1032</v>
      </c>
    </row>
    <row r="358" spans="1:1" hidden="1" x14ac:dyDescent="0.35">
      <c r="A358" t="s">
        <v>1033</v>
      </c>
    </row>
    <row r="359" spans="1:1" hidden="1" x14ac:dyDescent="0.35">
      <c r="A359" t="s">
        <v>1033</v>
      </c>
    </row>
    <row r="360" spans="1:1" hidden="1" x14ac:dyDescent="0.35">
      <c r="A360" t="s">
        <v>1034</v>
      </c>
    </row>
    <row r="361" spans="1:1" hidden="1" x14ac:dyDescent="0.35">
      <c r="A361" t="s">
        <v>1035</v>
      </c>
    </row>
    <row r="362" spans="1:1" hidden="1" x14ac:dyDescent="0.35">
      <c r="A362" t="s">
        <v>1036</v>
      </c>
    </row>
    <row r="363" spans="1:1" hidden="1" x14ac:dyDescent="0.35">
      <c r="A363" t="s">
        <v>1037</v>
      </c>
    </row>
    <row r="364" spans="1:1" hidden="1" x14ac:dyDescent="0.35">
      <c r="A364" t="s">
        <v>1038</v>
      </c>
    </row>
    <row r="365" spans="1:1" hidden="1" x14ac:dyDescent="0.35">
      <c r="A365" t="s">
        <v>1039</v>
      </c>
    </row>
    <row r="366" spans="1:1" hidden="1" x14ac:dyDescent="0.35">
      <c r="A366" t="s">
        <v>1040</v>
      </c>
    </row>
    <row r="367" spans="1:1" hidden="1" x14ac:dyDescent="0.35">
      <c r="A367" t="s">
        <v>1041</v>
      </c>
    </row>
    <row r="368" spans="1:1" hidden="1" x14ac:dyDescent="0.35">
      <c r="A368" t="s">
        <v>1039</v>
      </c>
    </row>
    <row r="369" spans="1:1" hidden="1" x14ac:dyDescent="0.35">
      <c r="A369" t="s">
        <v>1042</v>
      </c>
    </row>
    <row r="370" spans="1:1" hidden="1" x14ac:dyDescent="0.35">
      <c r="A370" t="s">
        <v>893</v>
      </c>
    </row>
    <row r="371" spans="1:1" hidden="1" x14ac:dyDescent="0.35">
      <c r="A371" t="s">
        <v>1043</v>
      </c>
    </row>
    <row r="372" spans="1:1" hidden="1" x14ac:dyDescent="0.35">
      <c r="A372" t="s">
        <v>1044</v>
      </c>
    </row>
    <row r="373" spans="1:1" hidden="1" x14ac:dyDescent="0.35">
      <c r="A373" t="s">
        <v>1045</v>
      </c>
    </row>
    <row r="374" spans="1:1" hidden="1" x14ac:dyDescent="0.35">
      <c r="A374" t="s">
        <v>1007</v>
      </c>
    </row>
    <row r="375" spans="1:1" hidden="1" x14ac:dyDescent="0.35">
      <c r="A375" t="s">
        <v>1046</v>
      </c>
    </row>
    <row r="376" spans="1:1" hidden="1" x14ac:dyDescent="0.35">
      <c r="A376" t="s">
        <v>1047</v>
      </c>
    </row>
    <row r="377" spans="1:1" hidden="1" x14ac:dyDescent="0.35">
      <c r="A377" t="s">
        <v>1048</v>
      </c>
    </row>
    <row r="378" spans="1:1" hidden="1" x14ac:dyDescent="0.35">
      <c r="A378" t="s">
        <v>1049</v>
      </c>
    </row>
    <row r="379" spans="1:1" hidden="1" x14ac:dyDescent="0.35">
      <c r="A379" t="s">
        <v>1049</v>
      </c>
    </row>
    <row r="380" spans="1:1" hidden="1" x14ac:dyDescent="0.35">
      <c r="A380" t="s">
        <v>1050</v>
      </c>
    </row>
    <row r="381" spans="1:1" hidden="1" x14ac:dyDescent="0.35">
      <c r="A381" t="s">
        <v>987</v>
      </c>
    </row>
    <row r="382" spans="1:1" hidden="1" x14ac:dyDescent="0.35">
      <c r="A382" t="s">
        <v>1051</v>
      </c>
    </row>
    <row r="383" spans="1:1" hidden="1" x14ac:dyDescent="0.35">
      <c r="A383" t="s">
        <v>1052</v>
      </c>
    </row>
    <row r="384" spans="1:1" hidden="1" x14ac:dyDescent="0.35">
      <c r="A384" t="s">
        <v>1053</v>
      </c>
    </row>
    <row r="385" spans="1:1" hidden="1" x14ac:dyDescent="0.35">
      <c r="A385" t="s">
        <v>1054</v>
      </c>
    </row>
    <row r="386" spans="1:1" hidden="1" x14ac:dyDescent="0.35">
      <c r="A386" t="s">
        <v>1054</v>
      </c>
    </row>
    <row r="387" spans="1:1" hidden="1" x14ac:dyDescent="0.35">
      <c r="A387" t="s">
        <v>891</v>
      </c>
    </row>
    <row r="388" spans="1:1" hidden="1" x14ac:dyDescent="0.35">
      <c r="A388" t="s">
        <v>1032</v>
      </c>
    </row>
    <row r="389" spans="1:1" hidden="1" x14ac:dyDescent="0.35">
      <c r="A389" t="s">
        <v>1055</v>
      </c>
    </row>
    <row r="390" spans="1:1" hidden="1" x14ac:dyDescent="0.35">
      <c r="A390" t="s">
        <v>1056</v>
      </c>
    </row>
    <row r="391" spans="1:1" hidden="1" x14ac:dyDescent="0.35">
      <c r="A391" t="s">
        <v>1057</v>
      </c>
    </row>
    <row r="392" spans="1:1" hidden="1" x14ac:dyDescent="0.35">
      <c r="A392" t="s">
        <v>1058</v>
      </c>
    </row>
    <row r="393" spans="1:1" hidden="1" x14ac:dyDescent="0.35">
      <c r="A393" t="s">
        <v>1059</v>
      </c>
    </row>
    <row r="394" spans="1:1" hidden="1" x14ac:dyDescent="0.35">
      <c r="A394" t="s">
        <v>1059</v>
      </c>
    </row>
    <row r="395" spans="1:1" hidden="1" x14ac:dyDescent="0.35">
      <c r="A395" t="s">
        <v>1060</v>
      </c>
    </row>
    <row r="396" spans="1:1" hidden="1" x14ac:dyDescent="0.35">
      <c r="A396" t="s">
        <v>1061</v>
      </c>
    </row>
    <row r="397" spans="1:1" hidden="1" x14ac:dyDescent="0.35">
      <c r="A397" t="s">
        <v>1062</v>
      </c>
    </row>
    <row r="398" spans="1:1" hidden="1" x14ac:dyDescent="0.35">
      <c r="A398" t="s">
        <v>1063</v>
      </c>
    </row>
    <row r="399" spans="1:1" hidden="1" x14ac:dyDescent="0.35">
      <c r="A399" t="s">
        <v>1064</v>
      </c>
    </row>
    <row r="400" spans="1:1" hidden="1" x14ac:dyDescent="0.35">
      <c r="A400" t="s">
        <v>1065</v>
      </c>
    </row>
    <row r="401" spans="1:1" hidden="1" x14ac:dyDescent="0.35">
      <c r="A401" t="s">
        <v>1066</v>
      </c>
    </row>
    <row r="402" spans="1:1" hidden="1" x14ac:dyDescent="0.35">
      <c r="A402" t="s">
        <v>1067</v>
      </c>
    </row>
    <row r="403" spans="1:1" hidden="1" x14ac:dyDescent="0.35">
      <c r="A403" t="s">
        <v>1068</v>
      </c>
    </row>
    <row r="404" spans="1:1" hidden="1" x14ac:dyDescent="0.35">
      <c r="A404" t="s">
        <v>1060</v>
      </c>
    </row>
    <row r="405" spans="1:1" hidden="1" x14ac:dyDescent="0.35">
      <c r="A405" t="s">
        <v>1069</v>
      </c>
    </row>
    <row r="406" spans="1:1" hidden="1" x14ac:dyDescent="0.35">
      <c r="A406" t="s">
        <v>1070</v>
      </c>
    </row>
    <row r="407" spans="1:1" hidden="1" x14ac:dyDescent="0.35">
      <c r="A407" t="s">
        <v>1071</v>
      </c>
    </row>
    <row r="408" spans="1:1" hidden="1" x14ac:dyDescent="0.35">
      <c r="A408" t="s">
        <v>1072</v>
      </c>
    </row>
    <row r="409" spans="1:1" hidden="1" x14ac:dyDescent="0.35">
      <c r="A409" t="s">
        <v>1073</v>
      </c>
    </row>
    <row r="410" spans="1:1" hidden="1" x14ac:dyDescent="0.35">
      <c r="A410" t="s">
        <v>1074</v>
      </c>
    </row>
    <row r="411" spans="1:1" hidden="1" x14ac:dyDescent="0.35">
      <c r="A411" t="s">
        <v>1075</v>
      </c>
    </row>
    <row r="412" spans="1:1" hidden="1" x14ac:dyDescent="0.35">
      <c r="A412" t="s">
        <v>1076</v>
      </c>
    </row>
    <row r="413" spans="1:1" hidden="1" x14ac:dyDescent="0.35">
      <c r="A413" t="s">
        <v>1065</v>
      </c>
    </row>
    <row r="414" spans="1:1" hidden="1" x14ac:dyDescent="0.35">
      <c r="A414" t="s">
        <v>1077</v>
      </c>
    </row>
    <row r="415" spans="1:1" hidden="1" x14ac:dyDescent="0.35">
      <c r="A415" t="s">
        <v>1077</v>
      </c>
    </row>
    <row r="416" spans="1:1" hidden="1" x14ac:dyDescent="0.35">
      <c r="A416" t="s">
        <v>1065</v>
      </c>
    </row>
    <row r="417" spans="1:1" hidden="1" x14ac:dyDescent="0.35">
      <c r="A417" t="s">
        <v>1078</v>
      </c>
    </row>
    <row r="418" spans="1:1" hidden="1" x14ac:dyDescent="0.35">
      <c r="A418" t="s">
        <v>1059</v>
      </c>
    </row>
    <row r="419" spans="1:1" hidden="1" x14ac:dyDescent="0.35">
      <c r="A419" t="s">
        <v>1079</v>
      </c>
    </row>
    <row r="420" spans="1:1" hidden="1" x14ac:dyDescent="0.35">
      <c r="A420" t="s">
        <v>1080</v>
      </c>
    </row>
    <row r="421" spans="1:1" hidden="1" x14ac:dyDescent="0.35">
      <c r="A421" t="s">
        <v>1081</v>
      </c>
    </row>
    <row r="422" spans="1:1" hidden="1" x14ac:dyDescent="0.35">
      <c r="A422" t="s">
        <v>1082</v>
      </c>
    </row>
    <row r="423" spans="1:1" hidden="1" x14ac:dyDescent="0.35">
      <c r="A423" t="s">
        <v>1083</v>
      </c>
    </row>
    <row r="424" spans="1:1" hidden="1" x14ac:dyDescent="0.35">
      <c r="A424" t="s">
        <v>1084</v>
      </c>
    </row>
    <row r="425" spans="1:1" hidden="1" x14ac:dyDescent="0.35">
      <c r="A425" t="s">
        <v>1085</v>
      </c>
    </row>
    <row r="426" spans="1:1" hidden="1" x14ac:dyDescent="0.35">
      <c r="A426" t="s">
        <v>1086</v>
      </c>
    </row>
    <row r="427" spans="1:1" hidden="1" x14ac:dyDescent="0.35">
      <c r="A427" t="s">
        <v>1087</v>
      </c>
    </row>
    <row r="428" spans="1:1" hidden="1" x14ac:dyDescent="0.35">
      <c r="A428" t="s">
        <v>1088</v>
      </c>
    </row>
    <row r="429" spans="1:1" hidden="1" x14ac:dyDescent="0.35">
      <c r="A429" t="s">
        <v>1089</v>
      </c>
    </row>
    <row r="430" spans="1:1" hidden="1" x14ac:dyDescent="0.35">
      <c r="A430" t="s">
        <v>1090</v>
      </c>
    </row>
    <row r="431" spans="1:1" hidden="1" x14ac:dyDescent="0.35">
      <c r="A431" t="s">
        <v>1067</v>
      </c>
    </row>
    <row r="432" spans="1:1" hidden="1" x14ac:dyDescent="0.35">
      <c r="A432" t="s">
        <v>1091</v>
      </c>
    </row>
    <row r="433" spans="1:1" hidden="1" x14ac:dyDescent="0.35">
      <c r="A433" t="s">
        <v>1092</v>
      </c>
    </row>
    <row r="434" spans="1:1" hidden="1" x14ac:dyDescent="0.35">
      <c r="A434" t="s">
        <v>1093</v>
      </c>
    </row>
    <row r="435" spans="1:1" hidden="1" x14ac:dyDescent="0.35">
      <c r="A435" t="s">
        <v>1094</v>
      </c>
    </row>
    <row r="436" spans="1:1" hidden="1" x14ac:dyDescent="0.35">
      <c r="A436" t="s">
        <v>1095</v>
      </c>
    </row>
    <row r="437" spans="1:1" hidden="1" x14ac:dyDescent="0.35">
      <c r="A437" t="s">
        <v>1066</v>
      </c>
    </row>
    <row r="438" spans="1:1" hidden="1" x14ac:dyDescent="0.35">
      <c r="A438" t="s">
        <v>1086</v>
      </c>
    </row>
    <row r="439" spans="1:1" hidden="1" x14ac:dyDescent="0.35">
      <c r="A439" t="s">
        <v>1096</v>
      </c>
    </row>
    <row r="440" spans="1:1" hidden="1" x14ac:dyDescent="0.35">
      <c r="A440" t="s">
        <v>1097</v>
      </c>
    </row>
    <row r="441" spans="1:1" hidden="1" x14ac:dyDescent="0.35">
      <c r="A441" t="s">
        <v>1098</v>
      </c>
    </row>
    <row r="442" spans="1:1" hidden="1" x14ac:dyDescent="0.35">
      <c r="A442" t="s">
        <v>1099</v>
      </c>
    </row>
    <row r="443" spans="1:1" hidden="1" x14ac:dyDescent="0.35">
      <c r="A443" t="s">
        <v>1100</v>
      </c>
    </row>
    <row r="444" spans="1:1" hidden="1" x14ac:dyDescent="0.35">
      <c r="A444" t="s">
        <v>1101</v>
      </c>
    </row>
    <row r="445" spans="1:1" hidden="1" x14ac:dyDescent="0.35">
      <c r="A445" t="s">
        <v>1102</v>
      </c>
    </row>
    <row r="446" spans="1:1" hidden="1" x14ac:dyDescent="0.35">
      <c r="A446" t="s">
        <v>1103</v>
      </c>
    </row>
    <row r="447" spans="1:1" hidden="1" x14ac:dyDescent="0.35">
      <c r="A447" t="s">
        <v>1067</v>
      </c>
    </row>
    <row r="448" spans="1:1" hidden="1" x14ac:dyDescent="0.35">
      <c r="A448" t="s">
        <v>1104</v>
      </c>
    </row>
    <row r="449" spans="1:1" hidden="1" x14ac:dyDescent="0.35">
      <c r="A449" t="s">
        <v>1105</v>
      </c>
    </row>
    <row r="450" spans="1:1" hidden="1" x14ac:dyDescent="0.35">
      <c r="A450" t="s">
        <v>1106</v>
      </c>
    </row>
    <row r="451" spans="1:1" hidden="1" x14ac:dyDescent="0.35">
      <c r="A451" t="s">
        <v>1107</v>
      </c>
    </row>
    <row r="452" spans="1:1" hidden="1" x14ac:dyDescent="0.35">
      <c r="A452" t="s">
        <v>1108</v>
      </c>
    </row>
    <row r="453" spans="1:1" hidden="1" x14ac:dyDescent="0.35">
      <c r="A453" t="s">
        <v>1109</v>
      </c>
    </row>
    <row r="454" spans="1:1" hidden="1" x14ac:dyDescent="0.35">
      <c r="A454" t="s">
        <v>1110</v>
      </c>
    </row>
    <row r="455" spans="1:1" hidden="1" x14ac:dyDescent="0.35">
      <c r="A455" t="s">
        <v>1111</v>
      </c>
    </row>
    <row r="456" spans="1:1" hidden="1" x14ac:dyDescent="0.35">
      <c r="A456" t="s">
        <v>1063</v>
      </c>
    </row>
    <row r="457" spans="1:1" hidden="1" x14ac:dyDescent="0.35">
      <c r="A457" t="s">
        <v>1112</v>
      </c>
    </row>
    <row r="458" spans="1:1" hidden="1" x14ac:dyDescent="0.35">
      <c r="A458" t="s">
        <v>1113</v>
      </c>
    </row>
    <row r="459" spans="1:1" hidden="1" x14ac:dyDescent="0.35">
      <c r="A459" t="s">
        <v>1114</v>
      </c>
    </row>
    <row r="460" spans="1:1" hidden="1" x14ac:dyDescent="0.35">
      <c r="A460" t="s">
        <v>1115</v>
      </c>
    </row>
    <row r="461" spans="1:1" hidden="1" x14ac:dyDescent="0.35">
      <c r="A461" t="s">
        <v>1100</v>
      </c>
    </row>
    <row r="462" spans="1:1" hidden="1" x14ac:dyDescent="0.35">
      <c r="A462" t="s">
        <v>1116</v>
      </c>
    </row>
    <row r="463" spans="1:1" hidden="1" x14ac:dyDescent="0.35">
      <c r="A463" t="s">
        <v>1116</v>
      </c>
    </row>
    <row r="464" spans="1:1" hidden="1" x14ac:dyDescent="0.35">
      <c r="A464" t="s">
        <v>1117</v>
      </c>
    </row>
    <row r="465" spans="1:1" hidden="1" x14ac:dyDescent="0.35">
      <c r="A465" t="s">
        <v>1118</v>
      </c>
    </row>
    <row r="466" spans="1:1" hidden="1" x14ac:dyDescent="0.35">
      <c r="A466" t="s">
        <v>1119</v>
      </c>
    </row>
    <row r="467" spans="1:1" hidden="1" x14ac:dyDescent="0.35">
      <c r="A467" t="s">
        <v>1120</v>
      </c>
    </row>
    <row r="468" spans="1:1" hidden="1" x14ac:dyDescent="0.35">
      <c r="A468" t="s">
        <v>1121</v>
      </c>
    </row>
    <row r="469" spans="1:1" hidden="1" x14ac:dyDescent="0.35">
      <c r="A469" t="s">
        <v>1122</v>
      </c>
    </row>
    <row r="470" spans="1:1" hidden="1" x14ac:dyDescent="0.35">
      <c r="A470" t="s">
        <v>1078</v>
      </c>
    </row>
    <row r="471" spans="1:1" hidden="1" x14ac:dyDescent="0.35">
      <c r="A471" t="s">
        <v>1123</v>
      </c>
    </row>
    <row r="472" spans="1:1" hidden="1" x14ac:dyDescent="0.35">
      <c r="A472" t="s">
        <v>1124</v>
      </c>
    </row>
    <row r="473" spans="1:1" hidden="1" x14ac:dyDescent="0.35">
      <c r="A473" t="s">
        <v>1125</v>
      </c>
    </row>
    <row r="474" spans="1:1" hidden="1" x14ac:dyDescent="0.35">
      <c r="A474" t="s">
        <v>1126</v>
      </c>
    </row>
    <row r="475" spans="1:1" hidden="1" x14ac:dyDescent="0.35">
      <c r="A475" t="s">
        <v>1127</v>
      </c>
    </row>
    <row r="476" spans="1:1" hidden="1" x14ac:dyDescent="0.35">
      <c r="A476" t="s">
        <v>1128</v>
      </c>
    </row>
    <row r="477" spans="1:1" hidden="1" x14ac:dyDescent="0.35">
      <c r="A477" t="s">
        <v>1129</v>
      </c>
    </row>
    <row r="478" spans="1:1" hidden="1" x14ac:dyDescent="0.35">
      <c r="A478" t="s">
        <v>1130</v>
      </c>
    </row>
    <row r="479" spans="1:1" hidden="1" x14ac:dyDescent="0.35">
      <c r="A479" t="s">
        <v>1131</v>
      </c>
    </row>
    <row r="480" spans="1:1" hidden="1" x14ac:dyDescent="0.35">
      <c r="A480" t="s">
        <v>1126</v>
      </c>
    </row>
    <row r="481" spans="1:1" hidden="1" x14ac:dyDescent="0.35">
      <c r="A481" t="s">
        <v>1132</v>
      </c>
    </row>
    <row r="482" spans="1:1" hidden="1" x14ac:dyDescent="0.35">
      <c r="A482" t="s">
        <v>1133</v>
      </c>
    </row>
    <row r="483" spans="1:1" hidden="1" x14ac:dyDescent="0.35">
      <c r="A483" t="s">
        <v>1079</v>
      </c>
    </row>
    <row r="484" spans="1:1" hidden="1" x14ac:dyDescent="0.35">
      <c r="A484" t="s">
        <v>1134</v>
      </c>
    </row>
    <row r="485" spans="1:1" hidden="1" x14ac:dyDescent="0.35">
      <c r="A485" t="s">
        <v>1135</v>
      </c>
    </row>
    <row r="486" spans="1:1" hidden="1" x14ac:dyDescent="0.35">
      <c r="A486" t="s">
        <v>1135</v>
      </c>
    </row>
    <row r="487" spans="1:1" hidden="1" x14ac:dyDescent="0.35">
      <c r="A487" t="s">
        <v>1136</v>
      </c>
    </row>
    <row r="488" spans="1:1" hidden="1" x14ac:dyDescent="0.35">
      <c r="A488" t="s">
        <v>1137</v>
      </c>
    </row>
    <row r="489" spans="1:1" hidden="1" x14ac:dyDescent="0.35">
      <c r="A489" t="s">
        <v>1137</v>
      </c>
    </row>
    <row r="490" spans="1:1" hidden="1" x14ac:dyDescent="0.35">
      <c r="A490" t="s">
        <v>1137</v>
      </c>
    </row>
    <row r="491" spans="1:1" hidden="1" x14ac:dyDescent="0.35">
      <c r="A491" t="s">
        <v>1138</v>
      </c>
    </row>
    <row r="492" spans="1:1" hidden="1" x14ac:dyDescent="0.35">
      <c r="A492" t="s">
        <v>1139</v>
      </c>
    </row>
    <row r="493" spans="1:1" hidden="1" x14ac:dyDescent="0.35">
      <c r="A493" t="s">
        <v>1140</v>
      </c>
    </row>
    <row r="494" spans="1:1" hidden="1" x14ac:dyDescent="0.35">
      <c r="A494" t="s">
        <v>1141</v>
      </c>
    </row>
    <row r="495" spans="1:1" hidden="1" x14ac:dyDescent="0.35">
      <c r="A495" t="s">
        <v>1142</v>
      </c>
    </row>
    <row r="496" spans="1:1" hidden="1" x14ac:dyDescent="0.35">
      <c r="A496" t="s">
        <v>1143</v>
      </c>
    </row>
    <row r="497" spans="1:1" hidden="1" x14ac:dyDescent="0.35">
      <c r="A497" t="s">
        <v>1093</v>
      </c>
    </row>
    <row r="498" spans="1:1" hidden="1" x14ac:dyDescent="0.35">
      <c r="A498" t="s">
        <v>1144</v>
      </c>
    </row>
    <row r="499" spans="1:1" hidden="1" x14ac:dyDescent="0.35">
      <c r="A499" t="s">
        <v>1145</v>
      </c>
    </row>
    <row r="500" spans="1:1" hidden="1" x14ac:dyDescent="0.35">
      <c r="A500" t="s">
        <v>1146</v>
      </c>
    </row>
    <row r="501" spans="1:1" hidden="1" x14ac:dyDescent="0.35">
      <c r="A501" t="s">
        <v>1147</v>
      </c>
    </row>
    <row r="502" spans="1:1" hidden="1" x14ac:dyDescent="0.35">
      <c r="A502" t="s">
        <v>1148</v>
      </c>
    </row>
    <row r="503" spans="1:1" hidden="1" x14ac:dyDescent="0.35">
      <c r="A503" t="s">
        <v>1149</v>
      </c>
    </row>
    <row r="504" spans="1:1" hidden="1" x14ac:dyDescent="0.35">
      <c r="A504" t="s">
        <v>1150</v>
      </c>
    </row>
    <row r="505" spans="1:1" hidden="1" x14ac:dyDescent="0.35">
      <c r="A505" t="s">
        <v>1108</v>
      </c>
    </row>
    <row r="506" spans="1:1" hidden="1" x14ac:dyDescent="0.35">
      <c r="A506" t="s">
        <v>1151</v>
      </c>
    </row>
    <row r="507" spans="1:1" hidden="1" x14ac:dyDescent="0.35">
      <c r="A507" t="s">
        <v>1152</v>
      </c>
    </row>
    <row r="508" spans="1:1" hidden="1" x14ac:dyDescent="0.35">
      <c r="A508" t="s">
        <v>1153</v>
      </c>
    </row>
    <row r="509" spans="1:1" hidden="1" x14ac:dyDescent="0.35">
      <c r="A509" t="s">
        <v>1154</v>
      </c>
    </row>
    <row r="510" spans="1:1" hidden="1" x14ac:dyDescent="0.35">
      <c r="A510" t="s">
        <v>1155</v>
      </c>
    </row>
    <row r="511" spans="1:1" hidden="1" x14ac:dyDescent="0.35">
      <c r="A511" t="s">
        <v>1156</v>
      </c>
    </row>
    <row r="512" spans="1:1" hidden="1" x14ac:dyDescent="0.35">
      <c r="A512" t="s">
        <v>1156</v>
      </c>
    </row>
    <row r="513" spans="1:1" hidden="1" x14ac:dyDescent="0.35">
      <c r="A513" t="s">
        <v>1157</v>
      </c>
    </row>
    <row r="514" spans="1:1" hidden="1" x14ac:dyDescent="0.35">
      <c r="A514" t="s">
        <v>1158</v>
      </c>
    </row>
    <row r="515" spans="1:1" hidden="1" x14ac:dyDescent="0.35">
      <c r="A515" t="s">
        <v>1159</v>
      </c>
    </row>
    <row r="516" spans="1:1" hidden="1" x14ac:dyDescent="0.35">
      <c r="A516" t="s">
        <v>1160</v>
      </c>
    </row>
    <row r="517" spans="1:1" hidden="1" x14ac:dyDescent="0.35">
      <c r="A517" t="s">
        <v>1161</v>
      </c>
    </row>
    <row r="518" spans="1:1" hidden="1" x14ac:dyDescent="0.35">
      <c r="A518" t="s">
        <v>1162</v>
      </c>
    </row>
    <row r="519" spans="1:1" hidden="1" x14ac:dyDescent="0.35">
      <c r="A519" t="s">
        <v>1163</v>
      </c>
    </row>
    <row r="520" spans="1:1" hidden="1" x14ac:dyDescent="0.35">
      <c r="A520" t="s">
        <v>1164</v>
      </c>
    </row>
    <row r="521" spans="1:1" hidden="1" x14ac:dyDescent="0.35">
      <c r="A521" t="s">
        <v>1165</v>
      </c>
    </row>
    <row r="522" spans="1:1" hidden="1" x14ac:dyDescent="0.35">
      <c r="A522" t="s">
        <v>1166</v>
      </c>
    </row>
    <row r="523" spans="1:1" hidden="1" x14ac:dyDescent="0.35">
      <c r="A523" t="s">
        <v>1167</v>
      </c>
    </row>
    <row r="524" spans="1:1" hidden="1" x14ac:dyDescent="0.35">
      <c r="A524" t="s">
        <v>1168</v>
      </c>
    </row>
    <row r="525" spans="1:1" hidden="1" x14ac:dyDescent="0.35">
      <c r="A525" t="s">
        <v>1169</v>
      </c>
    </row>
    <row r="526" spans="1:1" hidden="1" x14ac:dyDescent="0.35">
      <c r="A526" t="s">
        <v>1149</v>
      </c>
    </row>
    <row r="527" spans="1:1" hidden="1" x14ac:dyDescent="0.35">
      <c r="A527" t="s">
        <v>1170</v>
      </c>
    </row>
    <row r="528" spans="1:1" hidden="1" x14ac:dyDescent="0.35">
      <c r="A528" t="s">
        <v>1171</v>
      </c>
    </row>
    <row r="529" spans="1:1" hidden="1" x14ac:dyDescent="0.35">
      <c r="A529" t="s">
        <v>1172</v>
      </c>
    </row>
    <row r="530" spans="1:1" hidden="1" x14ac:dyDescent="0.35">
      <c r="A530" t="s">
        <v>1173</v>
      </c>
    </row>
    <row r="531" spans="1:1" hidden="1" x14ac:dyDescent="0.35">
      <c r="A531" t="s">
        <v>1174</v>
      </c>
    </row>
    <row r="532" spans="1:1" hidden="1" x14ac:dyDescent="0.35">
      <c r="A532" t="s">
        <v>1175</v>
      </c>
    </row>
    <row r="533" spans="1:1" hidden="1" x14ac:dyDescent="0.35">
      <c r="A533" t="s">
        <v>1176</v>
      </c>
    </row>
    <row r="534" spans="1:1" hidden="1" x14ac:dyDescent="0.35">
      <c r="A534" t="s">
        <v>1177</v>
      </c>
    </row>
    <row r="535" spans="1:1" hidden="1" x14ac:dyDescent="0.35">
      <c r="A535" t="s">
        <v>1178</v>
      </c>
    </row>
    <row r="536" spans="1:1" hidden="1" x14ac:dyDescent="0.35">
      <c r="A536" t="s">
        <v>1179</v>
      </c>
    </row>
    <row r="537" spans="1:1" hidden="1" x14ac:dyDescent="0.35">
      <c r="A537" t="s">
        <v>1104</v>
      </c>
    </row>
    <row r="538" spans="1:1" hidden="1" x14ac:dyDescent="0.35">
      <c r="A538" t="s">
        <v>1173</v>
      </c>
    </row>
    <row r="539" spans="1:1" hidden="1" x14ac:dyDescent="0.35">
      <c r="A539" t="s">
        <v>1111</v>
      </c>
    </row>
    <row r="540" spans="1:1" hidden="1" x14ac:dyDescent="0.35">
      <c r="A540" t="s">
        <v>1180</v>
      </c>
    </row>
    <row r="541" spans="1:1" hidden="1" x14ac:dyDescent="0.35">
      <c r="A541" t="s">
        <v>1181</v>
      </c>
    </row>
    <row r="542" spans="1:1" hidden="1" x14ac:dyDescent="0.35">
      <c r="A542" t="s">
        <v>1182</v>
      </c>
    </row>
    <row r="543" spans="1:1" hidden="1" x14ac:dyDescent="0.35">
      <c r="A543" t="s">
        <v>1183</v>
      </c>
    </row>
    <row r="544" spans="1:1" hidden="1" x14ac:dyDescent="0.35">
      <c r="A544" t="s">
        <v>1184</v>
      </c>
    </row>
    <row r="545" spans="1:1" hidden="1" x14ac:dyDescent="0.35">
      <c r="A545" t="s">
        <v>1185</v>
      </c>
    </row>
    <row r="546" spans="1:1" hidden="1" x14ac:dyDescent="0.35">
      <c r="A546" t="s">
        <v>1186</v>
      </c>
    </row>
    <row r="547" spans="1:1" hidden="1" x14ac:dyDescent="0.35">
      <c r="A547" t="s">
        <v>1187</v>
      </c>
    </row>
    <row r="548" spans="1:1" hidden="1" x14ac:dyDescent="0.35">
      <c r="A548" t="s">
        <v>1079</v>
      </c>
    </row>
    <row r="549" spans="1:1" hidden="1" x14ac:dyDescent="0.35">
      <c r="A549" t="s">
        <v>1114</v>
      </c>
    </row>
    <row r="550" spans="1:1" hidden="1" x14ac:dyDescent="0.35">
      <c r="A550" t="s">
        <v>1188</v>
      </c>
    </row>
    <row r="551" spans="1:1" hidden="1" x14ac:dyDescent="0.35">
      <c r="A551" t="s">
        <v>1176</v>
      </c>
    </row>
    <row r="552" spans="1:1" hidden="1" x14ac:dyDescent="0.35">
      <c r="A552" t="s">
        <v>1189</v>
      </c>
    </row>
    <row r="553" spans="1:1" hidden="1" x14ac:dyDescent="0.35">
      <c r="A553" t="s">
        <v>1190</v>
      </c>
    </row>
    <row r="554" spans="1:1" hidden="1" x14ac:dyDescent="0.35">
      <c r="A554" t="s">
        <v>1072</v>
      </c>
    </row>
    <row r="555" spans="1:1" hidden="1" x14ac:dyDescent="0.35">
      <c r="A555" t="s">
        <v>1192</v>
      </c>
    </row>
    <row r="556" spans="1:1" hidden="1" x14ac:dyDescent="0.35">
      <c r="A556" t="s">
        <v>1191</v>
      </c>
    </row>
    <row r="557" spans="1:1" hidden="1" x14ac:dyDescent="0.35">
      <c r="A557" t="s">
        <v>1191</v>
      </c>
    </row>
    <row r="558" spans="1:1" hidden="1" x14ac:dyDescent="0.35">
      <c r="A558" t="s">
        <v>1193</v>
      </c>
    </row>
    <row r="559" spans="1:1" hidden="1" x14ac:dyDescent="0.35">
      <c r="A559" t="s">
        <v>1194</v>
      </c>
    </row>
    <row r="560" spans="1:1" hidden="1" x14ac:dyDescent="0.35">
      <c r="A560" t="s">
        <v>1195</v>
      </c>
    </row>
    <row r="561" spans="1:1" hidden="1" x14ac:dyDescent="0.35">
      <c r="A561" t="s">
        <v>1196</v>
      </c>
    </row>
    <row r="562" spans="1:1" hidden="1" x14ac:dyDescent="0.35">
      <c r="A562" t="s">
        <v>1197</v>
      </c>
    </row>
    <row r="563" spans="1:1" hidden="1" x14ac:dyDescent="0.35">
      <c r="A563" t="s">
        <v>1198</v>
      </c>
    </row>
    <row r="564" spans="1:1" hidden="1" x14ac:dyDescent="0.35">
      <c r="A564" t="s">
        <v>1199</v>
      </c>
    </row>
    <row r="565" spans="1:1" hidden="1" x14ac:dyDescent="0.35">
      <c r="A565" t="s">
        <v>1200</v>
      </c>
    </row>
    <row r="566" spans="1:1" hidden="1" x14ac:dyDescent="0.35">
      <c r="A566" t="s">
        <v>1201</v>
      </c>
    </row>
    <row r="567" spans="1:1" hidden="1" x14ac:dyDescent="0.35">
      <c r="A567" t="s">
        <v>1202</v>
      </c>
    </row>
    <row r="568" spans="1:1" hidden="1" x14ac:dyDescent="0.35">
      <c r="A568" t="s">
        <v>1192</v>
      </c>
    </row>
    <row r="569" spans="1:1" hidden="1" x14ac:dyDescent="0.35">
      <c r="A569" t="s">
        <v>1194</v>
      </c>
    </row>
    <row r="570" spans="1:1" hidden="1" x14ac:dyDescent="0.35">
      <c r="A570" t="s">
        <v>1203</v>
      </c>
    </row>
    <row r="571" spans="1:1" hidden="1" x14ac:dyDescent="0.35">
      <c r="A571" t="s">
        <v>1203</v>
      </c>
    </row>
    <row r="572" spans="1:1" hidden="1" x14ac:dyDescent="0.35">
      <c r="A572" t="s">
        <v>1204</v>
      </c>
    </row>
    <row r="573" spans="1:1" hidden="1" x14ac:dyDescent="0.35">
      <c r="A573" t="s">
        <v>1205</v>
      </c>
    </row>
    <row r="574" spans="1:1" hidden="1" x14ac:dyDescent="0.35">
      <c r="A574" t="s">
        <v>1206</v>
      </c>
    </row>
    <row r="575" spans="1:1" hidden="1" x14ac:dyDescent="0.35">
      <c r="A575" t="s">
        <v>1207</v>
      </c>
    </row>
    <row r="576" spans="1:1" hidden="1" x14ac:dyDescent="0.35">
      <c r="A576" t="s">
        <v>1208</v>
      </c>
    </row>
    <row r="577" spans="1:1" hidden="1" x14ac:dyDescent="0.35">
      <c r="A577" t="s">
        <v>1174</v>
      </c>
    </row>
    <row r="578" spans="1:1" hidden="1" x14ac:dyDescent="0.35">
      <c r="A578" t="s">
        <v>1209</v>
      </c>
    </row>
    <row r="579" spans="1:1" hidden="1" x14ac:dyDescent="0.35">
      <c r="A579" t="s">
        <v>1210</v>
      </c>
    </row>
    <row r="580" spans="1:1" hidden="1" x14ac:dyDescent="0.35">
      <c r="A580" t="s">
        <v>1211</v>
      </c>
    </row>
    <row r="581" spans="1:1" hidden="1" x14ac:dyDescent="0.35">
      <c r="A581" t="s">
        <v>1212</v>
      </c>
    </row>
    <row r="582" spans="1:1" hidden="1" x14ac:dyDescent="0.35">
      <c r="A582" t="s">
        <v>1111</v>
      </c>
    </row>
    <row r="583" spans="1:1" hidden="1" x14ac:dyDescent="0.35">
      <c r="A583" t="s">
        <v>1213</v>
      </c>
    </row>
    <row r="584" spans="1:1" hidden="1" x14ac:dyDescent="0.35">
      <c r="A584" t="s">
        <v>1194</v>
      </c>
    </row>
    <row r="585" spans="1:1" hidden="1" x14ac:dyDescent="0.35">
      <c r="A585" t="s">
        <v>1084</v>
      </c>
    </row>
    <row r="586" spans="1:1" hidden="1" x14ac:dyDescent="0.35">
      <c r="A586" t="s">
        <v>1101</v>
      </c>
    </row>
    <row r="587" spans="1:1" hidden="1" x14ac:dyDescent="0.35">
      <c r="A587" t="s">
        <v>1214</v>
      </c>
    </row>
    <row r="588" spans="1:1" hidden="1" x14ac:dyDescent="0.35">
      <c r="A588" t="s">
        <v>1215</v>
      </c>
    </row>
    <row r="589" spans="1:1" hidden="1" x14ac:dyDescent="0.35">
      <c r="A589" t="s">
        <v>1216</v>
      </c>
    </row>
    <row r="590" spans="1:1" hidden="1" x14ac:dyDescent="0.35">
      <c r="A590" t="s">
        <v>1196</v>
      </c>
    </row>
    <row r="591" spans="1:1" hidden="1" x14ac:dyDescent="0.35">
      <c r="A591" t="s">
        <v>1217</v>
      </c>
    </row>
    <row r="592" spans="1:1" hidden="1" x14ac:dyDescent="0.35">
      <c r="A592" t="s">
        <v>1089</v>
      </c>
    </row>
    <row r="593" spans="1:1" hidden="1" x14ac:dyDescent="0.35">
      <c r="A593" t="s">
        <v>1218</v>
      </c>
    </row>
    <row r="594" spans="1:1" hidden="1" x14ac:dyDescent="0.35">
      <c r="A594" t="s">
        <v>1060</v>
      </c>
    </row>
    <row r="595" spans="1:1" hidden="1" x14ac:dyDescent="0.35">
      <c r="A595" t="s">
        <v>1219</v>
      </c>
    </row>
    <row r="596" spans="1:1" hidden="1" x14ac:dyDescent="0.35">
      <c r="A596" t="s">
        <v>1215</v>
      </c>
    </row>
    <row r="597" spans="1:1" hidden="1" x14ac:dyDescent="0.35">
      <c r="A597" t="s">
        <v>1220</v>
      </c>
    </row>
    <row r="598" spans="1:1" hidden="1" x14ac:dyDescent="0.35">
      <c r="A598" t="s">
        <v>1221</v>
      </c>
    </row>
    <row r="599" spans="1:1" hidden="1" x14ac:dyDescent="0.35">
      <c r="A599" t="s">
        <v>1117</v>
      </c>
    </row>
    <row r="600" spans="1:1" hidden="1" x14ac:dyDescent="0.35">
      <c r="A600" t="s">
        <v>1222</v>
      </c>
    </row>
    <row r="601" spans="1:1" hidden="1" x14ac:dyDescent="0.35">
      <c r="A601" t="s">
        <v>1223</v>
      </c>
    </row>
    <row r="602" spans="1:1" hidden="1" x14ac:dyDescent="0.35">
      <c r="A602" t="s">
        <v>1224</v>
      </c>
    </row>
    <row r="603" spans="1:1" hidden="1" x14ac:dyDescent="0.35">
      <c r="A603" t="s">
        <v>1225</v>
      </c>
    </row>
    <row r="604" spans="1:1" hidden="1" x14ac:dyDescent="0.35">
      <c r="A604" t="s">
        <v>1226</v>
      </c>
    </row>
    <row r="605" spans="1:1" hidden="1" x14ac:dyDescent="0.35">
      <c r="A605" t="s">
        <v>1227</v>
      </c>
    </row>
    <row r="606" spans="1:1" hidden="1" x14ac:dyDescent="0.35">
      <c r="A606" t="s">
        <v>1227</v>
      </c>
    </row>
    <row r="607" spans="1:1" hidden="1" x14ac:dyDescent="0.35">
      <c r="A607" t="s">
        <v>1228</v>
      </c>
    </row>
    <row r="608" spans="1:1" hidden="1" x14ac:dyDescent="0.35">
      <c r="A608" t="s">
        <v>1212</v>
      </c>
    </row>
    <row r="609" spans="1:1" hidden="1" x14ac:dyDescent="0.35">
      <c r="A609" t="s">
        <v>1229</v>
      </c>
    </row>
    <row r="610" spans="1:1" hidden="1" x14ac:dyDescent="0.35">
      <c r="A610" t="s">
        <v>1218</v>
      </c>
    </row>
    <row r="611" spans="1:1" hidden="1" x14ac:dyDescent="0.35">
      <c r="A611" t="s">
        <v>1230</v>
      </c>
    </row>
    <row r="612" spans="1:1" hidden="1" x14ac:dyDescent="0.35">
      <c r="A612" t="s">
        <v>1231</v>
      </c>
    </row>
    <row r="613" spans="1:1" hidden="1" x14ac:dyDescent="0.35">
      <c r="A613" t="s">
        <v>1232</v>
      </c>
    </row>
    <row r="614" spans="1:1" hidden="1" x14ac:dyDescent="0.35">
      <c r="A614" t="s">
        <v>1233</v>
      </c>
    </row>
    <row r="615" spans="1:1" hidden="1" x14ac:dyDescent="0.35">
      <c r="A615" t="s">
        <v>1214</v>
      </c>
    </row>
    <row r="616" spans="1:1" hidden="1" x14ac:dyDescent="0.35">
      <c r="A616" t="s">
        <v>1234</v>
      </c>
    </row>
    <row r="617" spans="1:1" hidden="1" x14ac:dyDescent="0.35">
      <c r="A617" t="s">
        <v>1235</v>
      </c>
    </row>
    <row r="618" spans="1:1" hidden="1" x14ac:dyDescent="0.35">
      <c r="A618" t="s">
        <v>1171</v>
      </c>
    </row>
    <row r="619" spans="1:1" hidden="1" x14ac:dyDescent="0.35">
      <c r="A619" t="s">
        <v>1100</v>
      </c>
    </row>
    <row r="620" spans="1:1" hidden="1" x14ac:dyDescent="0.35">
      <c r="A620" t="s">
        <v>1236</v>
      </c>
    </row>
    <row r="621" spans="1:1" hidden="1" x14ac:dyDescent="0.35">
      <c r="A621" t="s">
        <v>1237</v>
      </c>
    </row>
    <row r="622" spans="1:1" hidden="1" x14ac:dyDescent="0.35">
      <c r="A622" t="s">
        <v>1238</v>
      </c>
    </row>
    <row r="623" spans="1:1" hidden="1" x14ac:dyDescent="0.35">
      <c r="A623" t="s">
        <v>1111</v>
      </c>
    </row>
    <row r="624" spans="1:1" hidden="1" x14ac:dyDescent="0.35">
      <c r="A624" t="s">
        <v>1239</v>
      </c>
    </row>
    <row r="625" spans="1:1" hidden="1" x14ac:dyDescent="0.35">
      <c r="A625" t="s">
        <v>1240</v>
      </c>
    </row>
    <row r="626" spans="1:1" hidden="1" x14ac:dyDescent="0.35">
      <c r="A626" t="s">
        <v>1241</v>
      </c>
    </row>
    <row r="627" spans="1:1" hidden="1" x14ac:dyDescent="0.35">
      <c r="A627" t="s">
        <v>1242</v>
      </c>
    </row>
    <row r="628" spans="1:1" hidden="1" x14ac:dyDescent="0.35">
      <c r="A628" t="s">
        <v>1243</v>
      </c>
    </row>
    <row r="629" spans="1:1" hidden="1" x14ac:dyDescent="0.35">
      <c r="A629" t="s">
        <v>1244</v>
      </c>
    </row>
    <row r="630" spans="1:1" hidden="1" x14ac:dyDescent="0.35">
      <c r="A630" t="s">
        <v>1246</v>
      </c>
    </row>
    <row r="631" spans="1:1" hidden="1" x14ac:dyDescent="0.35">
      <c r="A631" t="s">
        <v>1245</v>
      </c>
    </row>
    <row r="632" spans="1:1" hidden="1" x14ac:dyDescent="0.35">
      <c r="A632" t="s">
        <v>1247</v>
      </c>
    </row>
    <row r="633" spans="1:1" hidden="1" x14ac:dyDescent="0.35">
      <c r="A633" t="s">
        <v>1248</v>
      </c>
    </row>
    <row r="634" spans="1:1" hidden="1" x14ac:dyDescent="0.35">
      <c r="A634" t="s">
        <v>1193</v>
      </c>
    </row>
    <row r="635" spans="1:1" hidden="1" x14ac:dyDescent="0.35">
      <c r="A635" t="s">
        <v>1249</v>
      </c>
    </row>
    <row r="636" spans="1:1" hidden="1" x14ac:dyDescent="0.35">
      <c r="A636" t="s">
        <v>1249</v>
      </c>
    </row>
    <row r="637" spans="1:1" hidden="1" x14ac:dyDescent="0.35">
      <c r="A637" t="s">
        <v>1068</v>
      </c>
    </row>
    <row r="638" spans="1:1" hidden="1" x14ac:dyDescent="0.35">
      <c r="A638" t="s">
        <v>1215</v>
      </c>
    </row>
    <row r="639" spans="1:1" hidden="1" x14ac:dyDescent="0.35">
      <c r="A639" t="s">
        <v>1120</v>
      </c>
    </row>
    <row r="640" spans="1:1" hidden="1" x14ac:dyDescent="0.35">
      <c r="A640" t="s">
        <v>1120</v>
      </c>
    </row>
    <row r="641" spans="1:1" hidden="1" x14ac:dyDescent="0.35">
      <c r="A641" t="s">
        <v>1250</v>
      </c>
    </row>
    <row r="642" spans="1:1" hidden="1" x14ac:dyDescent="0.35">
      <c r="A642" t="s">
        <v>1251</v>
      </c>
    </row>
    <row r="643" spans="1:1" hidden="1" x14ac:dyDescent="0.35">
      <c r="A643" t="s">
        <v>1252</v>
      </c>
    </row>
    <row r="644" spans="1:1" hidden="1" x14ac:dyDescent="0.35">
      <c r="A644" t="s">
        <v>1253</v>
      </c>
    </row>
    <row r="645" spans="1:1" hidden="1" x14ac:dyDescent="0.35">
      <c r="A645" t="s">
        <v>1254</v>
      </c>
    </row>
    <row r="646" spans="1:1" hidden="1" x14ac:dyDescent="0.35">
      <c r="A646" t="s">
        <v>1255</v>
      </c>
    </row>
    <row r="647" spans="1:1" hidden="1" x14ac:dyDescent="0.35">
      <c r="A647" t="s">
        <v>1256</v>
      </c>
    </row>
    <row r="648" spans="1:1" hidden="1" x14ac:dyDescent="0.35">
      <c r="A648" t="s">
        <v>1122</v>
      </c>
    </row>
    <row r="649" spans="1:1" hidden="1" x14ac:dyDescent="0.35">
      <c r="A649" t="s">
        <v>1179</v>
      </c>
    </row>
    <row r="650" spans="1:1" hidden="1" x14ac:dyDescent="0.35">
      <c r="A650" t="s">
        <v>1257</v>
      </c>
    </row>
    <row r="651" spans="1:1" hidden="1" x14ac:dyDescent="0.35">
      <c r="A651" t="s">
        <v>1258</v>
      </c>
    </row>
    <row r="652" spans="1:1" hidden="1" x14ac:dyDescent="0.35">
      <c r="A652" t="s">
        <v>1258</v>
      </c>
    </row>
    <row r="653" spans="1:1" hidden="1" x14ac:dyDescent="0.35">
      <c r="A653" t="s">
        <v>1259</v>
      </c>
    </row>
    <row r="654" spans="1:1" hidden="1" x14ac:dyDescent="0.35">
      <c r="A654" t="s">
        <v>1260</v>
      </c>
    </row>
    <row r="655" spans="1:1" hidden="1" x14ac:dyDescent="0.35">
      <c r="A655" t="s">
        <v>1119</v>
      </c>
    </row>
    <row r="656" spans="1:1" hidden="1" x14ac:dyDescent="0.35">
      <c r="A656" t="s">
        <v>1261</v>
      </c>
    </row>
    <row r="657" spans="1:1" hidden="1" x14ac:dyDescent="0.35">
      <c r="A657" t="s">
        <v>1262</v>
      </c>
    </row>
    <row r="658" spans="1:1" hidden="1" x14ac:dyDescent="0.35">
      <c r="A658" t="s">
        <v>1263</v>
      </c>
    </row>
    <row r="659" spans="1:1" hidden="1" x14ac:dyDescent="0.35">
      <c r="A659" t="s">
        <v>1256</v>
      </c>
    </row>
    <row r="660" spans="1:1" hidden="1" x14ac:dyDescent="0.35">
      <c r="A660" t="s">
        <v>1236</v>
      </c>
    </row>
    <row r="661" spans="1:1" hidden="1" x14ac:dyDescent="0.35">
      <c r="A661" t="s">
        <v>1264</v>
      </c>
    </row>
    <row r="662" spans="1:1" hidden="1" x14ac:dyDescent="0.35">
      <c r="A662" t="s">
        <v>1265</v>
      </c>
    </row>
    <row r="663" spans="1:1" hidden="1" x14ac:dyDescent="0.35">
      <c r="A663" t="s">
        <v>1266</v>
      </c>
    </row>
    <row r="664" spans="1:1" hidden="1" x14ac:dyDescent="0.35">
      <c r="A664" t="s">
        <v>1267</v>
      </c>
    </row>
    <row r="665" spans="1:1" hidden="1" x14ac:dyDescent="0.35">
      <c r="A665" t="s">
        <v>1268</v>
      </c>
    </row>
    <row r="666" spans="1:1" hidden="1" x14ac:dyDescent="0.35">
      <c r="A666" t="s">
        <v>1269</v>
      </c>
    </row>
    <row r="667" spans="1:1" hidden="1" x14ac:dyDescent="0.35">
      <c r="A667" t="s">
        <v>1140</v>
      </c>
    </row>
    <row r="668" spans="1:1" hidden="1" x14ac:dyDescent="0.35">
      <c r="A668" t="s">
        <v>1270</v>
      </c>
    </row>
    <row r="669" spans="1:1" hidden="1" x14ac:dyDescent="0.35">
      <c r="A669" t="s">
        <v>1204</v>
      </c>
    </row>
    <row r="670" spans="1:1" hidden="1" x14ac:dyDescent="0.35">
      <c r="A670" t="s">
        <v>1271</v>
      </c>
    </row>
    <row r="671" spans="1:1" hidden="1" x14ac:dyDescent="0.35">
      <c r="A671" t="s">
        <v>1272</v>
      </c>
    </row>
    <row r="672" spans="1:1" hidden="1" x14ac:dyDescent="0.35">
      <c r="A672" t="s">
        <v>1063</v>
      </c>
    </row>
    <row r="673" spans="1:1" hidden="1" x14ac:dyDescent="0.35">
      <c r="A673" t="s">
        <v>1273</v>
      </c>
    </row>
    <row r="674" spans="1:1" hidden="1" x14ac:dyDescent="0.35">
      <c r="A674" t="s">
        <v>1274</v>
      </c>
    </row>
    <row r="675" spans="1:1" hidden="1" x14ac:dyDescent="0.35">
      <c r="A675" t="s">
        <v>1209</v>
      </c>
    </row>
    <row r="676" spans="1:1" hidden="1" x14ac:dyDescent="0.35">
      <c r="A676" t="s">
        <v>1275</v>
      </c>
    </row>
    <row r="677" spans="1:1" hidden="1" x14ac:dyDescent="0.35">
      <c r="A677" t="s">
        <v>1242</v>
      </c>
    </row>
    <row r="678" spans="1:1" hidden="1" x14ac:dyDescent="0.35">
      <c r="A678" t="s">
        <v>1215</v>
      </c>
    </row>
    <row r="679" spans="1:1" hidden="1" x14ac:dyDescent="0.35">
      <c r="A679" t="s">
        <v>1276</v>
      </c>
    </row>
    <row r="680" spans="1:1" hidden="1" x14ac:dyDescent="0.35">
      <c r="A680" t="s">
        <v>1277</v>
      </c>
    </row>
    <row r="681" spans="1:1" hidden="1" x14ac:dyDescent="0.35">
      <c r="A681" t="s">
        <v>1278</v>
      </c>
    </row>
    <row r="682" spans="1:1" hidden="1" x14ac:dyDescent="0.35">
      <c r="A682" t="s">
        <v>1279</v>
      </c>
    </row>
    <row r="683" spans="1:1" hidden="1" x14ac:dyDescent="0.35">
      <c r="A683" t="s">
        <v>1280</v>
      </c>
    </row>
    <row r="684" spans="1:1" hidden="1" x14ac:dyDescent="0.35">
      <c r="A684" t="s">
        <v>1275</v>
      </c>
    </row>
    <row r="685" spans="1:1" hidden="1" x14ac:dyDescent="0.35">
      <c r="A685" t="s">
        <v>1282</v>
      </c>
    </row>
    <row r="686" spans="1:1" hidden="1" x14ac:dyDescent="0.35">
      <c r="A686" t="s">
        <v>1281</v>
      </c>
    </row>
    <row r="687" spans="1:1" hidden="1" x14ac:dyDescent="0.35">
      <c r="A687" t="s">
        <v>1283</v>
      </c>
    </row>
    <row r="688" spans="1:1" hidden="1" x14ac:dyDescent="0.35">
      <c r="A688" t="s">
        <v>1284</v>
      </c>
    </row>
    <row r="689" spans="1:1" hidden="1" x14ac:dyDescent="0.35">
      <c r="A689" t="s">
        <v>1285</v>
      </c>
    </row>
    <row r="690" spans="1:1" hidden="1" x14ac:dyDescent="0.35">
      <c r="A690" t="s">
        <v>1286</v>
      </c>
    </row>
    <row r="691" spans="1:1" hidden="1" x14ac:dyDescent="0.35">
      <c r="A691" t="s">
        <v>1287</v>
      </c>
    </row>
    <row r="692" spans="1:1" hidden="1" x14ac:dyDescent="0.35">
      <c r="A692" t="s">
        <v>1288</v>
      </c>
    </row>
    <row r="693" spans="1:1" hidden="1" x14ac:dyDescent="0.35">
      <c r="A693" t="s">
        <v>1289</v>
      </c>
    </row>
    <row r="694" spans="1:1" hidden="1" x14ac:dyDescent="0.35">
      <c r="A694" t="s">
        <v>1290</v>
      </c>
    </row>
    <row r="695" spans="1:1" hidden="1" x14ac:dyDescent="0.35">
      <c r="A695" t="s">
        <v>1291</v>
      </c>
    </row>
    <row r="696" spans="1:1" hidden="1" x14ac:dyDescent="0.35">
      <c r="A696" t="s">
        <v>1292</v>
      </c>
    </row>
    <row r="697" spans="1:1" hidden="1" x14ac:dyDescent="0.35">
      <c r="A697" t="s">
        <v>1293</v>
      </c>
    </row>
    <row r="698" spans="1:1" hidden="1" x14ac:dyDescent="0.35">
      <c r="A698" t="s">
        <v>1294</v>
      </c>
    </row>
    <row r="699" spans="1:1" hidden="1" x14ac:dyDescent="0.35">
      <c r="A699" t="s">
        <v>1295</v>
      </c>
    </row>
    <row r="700" spans="1:1" hidden="1" x14ac:dyDescent="0.35">
      <c r="A700" t="s">
        <v>1296</v>
      </c>
    </row>
    <row r="701" spans="1:1" hidden="1" x14ac:dyDescent="0.35">
      <c r="A701" t="s">
        <v>1297</v>
      </c>
    </row>
    <row r="702" spans="1:1" hidden="1" x14ac:dyDescent="0.35">
      <c r="A702" t="s">
        <v>1298</v>
      </c>
    </row>
    <row r="703" spans="1:1" hidden="1" x14ac:dyDescent="0.35">
      <c r="A703" t="s">
        <v>1299</v>
      </c>
    </row>
    <row r="704" spans="1:1" hidden="1" x14ac:dyDescent="0.35">
      <c r="A704" t="s">
        <v>1300</v>
      </c>
    </row>
    <row r="705" spans="1:1" hidden="1" x14ac:dyDescent="0.35">
      <c r="A705" t="s">
        <v>1290</v>
      </c>
    </row>
    <row r="706" spans="1:1" hidden="1" x14ac:dyDescent="0.35">
      <c r="A706" t="s">
        <v>1290</v>
      </c>
    </row>
    <row r="707" spans="1:1" hidden="1" x14ac:dyDescent="0.35">
      <c r="A707" t="s">
        <v>1301</v>
      </c>
    </row>
    <row r="708" spans="1:1" hidden="1" x14ac:dyDescent="0.35">
      <c r="A708" t="s">
        <v>1302</v>
      </c>
    </row>
    <row r="709" spans="1:1" hidden="1" x14ac:dyDescent="0.35">
      <c r="A709" t="s">
        <v>1303</v>
      </c>
    </row>
    <row r="710" spans="1:1" hidden="1" x14ac:dyDescent="0.35">
      <c r="A710" t="s">
        <v>1304</v>
      </c>
    </row>
    <row r="711" spans="1:1" hidden="1" x14ac:dyDescent="0.35">
      <c r="A711" t="s">
        <v>1305</v>
      </c>
    </row>
    <row r="712" spans="1:1" hidden="1" x14ac:dyDescent="0.35">
      <c r="A712" t="s">
        <v>1306</v>
      </c>
    </row>
    <row r="713" spans="1:1" hidden="1" x14ac:dyDescent="0.35">
      <c r="A713" t="s">
        <v>1287</v>
      </c>
    </row>
    <row r="714" spans="1:1" hidden="1" x14ac:dyDescent="0.35">
      <c r="A714" t="s">
        <v>1307</v>
      </c>
    </row>
    <row r="715" spans="1:1" hidden="1" x14ac:dyDescent="0.35">
      <c r="A715" t="s">
        <v>1308</v>
      </c>
    </row>
    <row r="716" spans="1:1" hidden="1" x14ac:dyDescent="0.35">
      <c r="A716" t="s">
        <v>1309</v>
      </c>
    </row>
    <row r="717" spans="1:1" hidden="1" x14ac:dyDescent="0.35">
      <c r="A717" t="s">
        <v>1297</v>
      </c>
    </row>
    <row r="718" spans="1:1" hidden="1" x14ac:dyDescent="0.35">
      <c r="A718" t="s">
        <v>1310</v>
      </c>
    </row>
    <row r="719" spans="1:1" hidden="1" x14ac:dyDescent="0.35">
      <c r="A719" t="s">
        <v>1311</v>
      </c>
    </row>
    <row r="720" spans="1:1" hidden="1" x14ac:dyDescent="0.35">
      <c r="A720" t="s">
        <v>1312</v>
      </c>
    </row>
    <row r="721" spans="1:1" hidden="1" x14ac:dyDescent="0.35">
      <c r="A721" t="s">
        <v>1313</v>
      </c>
    </row>
    <row r="722" spans="1:1" hidden="1" x14ac:dyDescent="0.35">
      <c r="A722" t="s">
        <v>1314</v>
      </c>
    </row>
    <row r="723" spans="1:1" hidden="1" x14ac:dyDescent="0.35">
      <c r="A723" t="s">
        <v>1315</v>
      </c>
    </row>
    <row r="724" spans="1:1" hidden="1" x14ac:dyDescent="0.35">
      <c r="A724" t="s">
        <v>1316</v>
      </c>
    </row>
    <row r="725" spans="1:1" hidden="1" x14ac:dyDescent="0.35">
      <c r="A725" t="s">
        <v>1317</v>
      </c>
    </row>
    <row r="726" spans="1:1" hidden="1" x14ac:dyDescent="0.35">
      <c r="A726" t="s">
        <v>1318</v>
      </c>
    </row>
    <row r="727" spans="1:1" hidden="1" x14ac:dyDescent="0.35">
      <c r="A727" t="s">
        <v>1319</v>
      </c>
    </row>
    <row r="728" spans="1:1" hidden="1" x14ac:dyDescent="0.35">
      <c r="A728" t="s">
        <v>1320</v>
      </c>
    </row>
    <row r="729" spans="1:1" hidden="1" x14ac:dyDescent="0.35">
      <c r="A729" t="s">
        <v>1301</v>
      </c>
    </row>
    <row r="730" spans="1:1" hidden="1" x14ac:dyDescent="0.35">
      <c r="A730" t="s">
        <v>1321</v>
      </c>
    </row>
    <row r="731" spans="1:1" hidden="1" x14ac:dyDescent="0.35">
      <c r="A731" t="s">
        <v>1322</v>
      </c>
    </row>
    <row r="732" spans="1:1" hidden="1" x14ac:dyDescent="0.35">
      <c r="A732" t="s">
        <v>1322</v>
      </c>
    </row>
    <row r="733" spans="1:1" hidden="1" x14ac:dyDescent="0.35">
      <c r="A733" t="s">
        <v>1323</v>
      </c>
    </row>
    <row r="734" spans="1:1" hidden="1" x14ac:dyDescent="0.35">
      <c r="A734" t="s">
        <v>1324</v>
      </c>
    </row>
    <row r="735" spans="1:1" hidden="1" x14ac:dyDescent="0.35">
      <c r="A735" t="s">
        <v>1325</v>
      </c>
    </row>
    <row r="736" spans="1:1" hidden="1" x14ac:dyDescent="0.35">
      <c r="A736" t="s">
        <v>1326</v>
      </c>
    </row>
    <row r="737" spans="1:1" hidden="1" x14ac:dyDescent="0.35">
      <c r="A737" t="s">
        <v>1327</v>
      </c>
    </row>
    <row r="738" spans="1:1" hidden="1" x14ac:dyDescent="0.35">
      <c r="A738" t="s">
        <v>1328</v>
      </c>
    </row>
    <row r="739" spans="1:1" hidden="1" x14ac:dyDescent="0.35">
      <c r="A739" t="s">
        <v>1329</v>
      </c>
    </row>
    <row r="740" spans="1:1" hidden="1" x14ac:dyDescent="0.35">
      <c r="A740" t="s">
        <v>1330</v>
      </c>
    </row>
    <row r="741" spans="1:1" hidden="1" x14ac:dyDescent="0.35">
      <c r="A741" t="s">
        <v>1331</v>
      </c>
    </row>
    <row r="742" spans="1:1" hidden="1" x14ac:dyDescent="0.35">
      <c r="A742" t="s">
        <v>1332</v>
      </c>
    </row>
    <row r="743" spans="1:1" hidden="1" x14ac:dyDescent="0.35">
      <c r="A743" t="s">
        <v>1332</v>
      </c>
    </row>
    <row r="744" spans="1:1" hidden="1" x14ac:dyDescent="0.35">
      <c r="A744" t="s">
        <v>1332</v>
      </c>
    </row>
    <row r="745" spans="1:1" hidden="1" x14ac:dyDescent="0.35">
      <c r="A745" t="s">
        <v>1333</v>
      </c>
    </row>
    <row r="746" spans="1:1" hidden="1" x14ac:dyDescent="0.35">
      <c r="A746" t="s">
        <v>1324</v>
      </c>
    </row>
    <row r="747" spans="1:1" hidden="1" x14ac:dyDescent="0.35">
      <c r="A747" t="s">
        <v>1334</v>
      </c>
    </row>
    <row r="748" spans="1:1" hidden="1" x14ac:dyDescent="0.35">
      <c r="A748" t="s">
        <v>1335</v>
      </c>
    </row>
    <row r="749" spans="1:1" hidden="1" x14ac:dyDescent="0.35">
      <c r="A749" t="s">
        <v>1336</v>
      </c>
    </row>
    <row r="750" spans="1:1" hidden="1" x14ac:dyDescent="0.35">
      <c r="A750" t="s">
        <v>1286</v>
      </c>
    </row>
    <row r="751" spans="1:1" hidden="1" x14ac:dyDescent="0.35">
      <c r="A751" t="s">
        <v>1337</v>
      </c>
    </row>
    <row r="752" spans="1:1" hidden="1" x14ac:dyDescent="0.35">
      <c r="A752" t="s">
        <v>1338</v>
      </c>
    </row>
    <row r="753" spans="1:1" hidden="1" x14ac:dyDescent="0.35">
      <c r="A753" t="s">
        <v>1339</v>
      </c>
    </row>
    <row r="754" spans="1:1" hidden="1" x14ac:dyDescent="0.35">
      <c r="A754" t="s">
        <v>1340</v>
      </c>
    </row>
    <row r="755" spans="1:1" hidden="1" x14ac:dyDescent="0.35">
      <c r="A755" t="s">
        <v>1341</v>
      </c>
    </row>
    <row r="756" spans="1:1" hidden="1" x14ac:dyDescent="0.35">
      <c r="A756" t="s">
        <v>1342</v>
      </c>
    </row>
    <row r="757" spans="1:1" hidden="1" x14ac:dyDescent="0.35">
      <c r="A757" t="s">
        <v>1343</v>
      </c>
    </row>
    <row r="758" spans="1:1" hidden="1" x14ac:dyDescent="0.35">
      <c r="A758" t="s">
        <v>1344</v>
      </c>
    </row>
    <row r="759" spans="1:1" hidden="1" x14ac:dyDescent="0.35">
      <c r="A759" t="s">
        <v>1345</v>
      </c>
    </row>
    <row r="760" spans="1:1" hidden="1" x14ac:dyDescent="0.35">
      <c r="A760" t="s">
        <v>1346</v>
      </c>
    </row>
    <row r="761" spans="1:1" hidden="1" x14ac:dyDescent="0.35">
      <c r="A761" t="s">
        <v>1347</v>
      </c>
    </row>
    <row r="762" spans="1:1" hidden="1" x14ac:dyDescent="0.35">
      <c r="A762" t="s">
        <v>1348</v>
      </c>
    </row>
    <row r="763" spans="1:1" hidden="1" x14ac:dyDescent="0.35">
      <c r="A763" t="s">
        <v>1349</v>
      </c>
    </row>
    <row r="764" spans="1:1" hidden="1" x14ac:dyDescent="0.35">
      <c r="A764" t="s">
        <v>1350</v>
      </c>
    </row>
    <row r="765" spans="1:1" hidden="1" x14ac:dyDescent="0.35">
      <c r="A765" t="s">
        <v>1351</v>
      </c>
    </row>
    <row r="766" spans="1:1" hidden="1" x14ac:dyDescent="0.35">
      <c r="A766" t="s">
        <v>1351</v>
      </c>
    </row>
    <row r="767" spans="1:1" hidden="1" x14ac:dyDescent="0.35">
      <c r="A767" t="s">
        <v>1293</v>
      </c>
    </row>
    <row r="768" spans="1:1" hidden="1" x14ac:dyDescent="0.35">
      <c r="A768" t="s">
        <v>1352</v>
      </c>
    </row>
    <row r="769" spans="1:1" hidden="1" x14ac:dyDescent="0.35">
      <c r="A769" t="s">
        <v>1353</v>
      </c>
    </row>
    <row r="770" spans="1:1" hidden="1" x14ac:dyDescent="0.35">
      <c r="A770" t="s">
        <v>1353</v>
      </c>
    </row>
    <row r="771" spans="1:1" hidden="1" x14ac:dyDescent="0.35">
      <c r="A771" t="s">
        <v>1354</v>
      </c>
    </row>
    <row r="772" spans="1:1" hidden="1" x14ac:dyDescent="0.35">
      <c r="A772" t="s">
        <v>1355</v>
      </c>
    </row>
    <row r="773" spans="1:1" hidden="1" x14ac:dyDescent="0.35">
      <c r="A773" t="s">
        <v>1356</v>
      </c>
    </row>
    <row r="774" spans="1:1" hidden="1" x14ac:dyDescent="0.35">
      <c r="A774" t="s">
        <v>1357</v>
      </c>
    </row>
    <row r="775" spans="1:1" hidden="1" x14ac:dyDescent="0.35">
      <c r="A775" t="s">
        <v>1358</v>
      </c>
    </row>
    <row r="776" spans="1:1" hidden="1" x14ac:dyDescent="0.35">
      <c r="A776" t="s">
        <v>1359</v>
      </c>
    </row>
    <row r="777" spans="1:1" hidden="1" x14ac:dyDescent="0.35">
      <c r="A777" t="s">
        <v>1360</v>
      </c>
    </row>
    <row r="778" spans="1:1" hidden="1" x14ac:dyDescent="0.35">
      <c r="A778" t="s">
        <v>1361</v>
      </c>
    </row>
    <row r="779" spans="1:1" hidden="1" x14ac:dyDescent="0.35">
      <c r="A779" t="s">
        <v>1362</v>
      </c>
    </row>
    <row r="780" spans="1:1" hidden="1" x14ac:dyDescent="0.35">
      <c r="A780" t="s">
        <v>1363</v>
      </c>
    </row>
    <row r="781" spans="1:1" hidden="1" x14ac:dyDescent="0.35">
      <c r="A781" t="s">
        <v>1364</v>
      </c>
    </row>
    <row r="782" spans="1:1" hidden="1" x14ac:dyDescent="0.35">
      <c r="A782" t="s">
        <v>1365</v>
      </c>
    </row>
    <row r="783" spans="1:1" hidden="1" x14ac:dyDescent="0.35">
      <c r="A783" t="s">
        <v>1366</v>
      </c>
    </row>
    <row r="784" spans="1:1" hidden="1" x14ac:dyDescent="0.35">
      <c r="A784" t="s">
        <v>1367</v>
      </c>
    </row>
    <row r="785" spans="1:1" hidden="1" x14ac:dyDescent="0.35">
      <c r="A785" t="s">
        <v>1368</v>
      </c>
    </row>
    <row r="786" spans="1:1" hidden="1" x14ac:dyDescent="0.35">
      <c r="A786" t="s">
        <v>1350</v>
      </c>
    </row>
    <row r="787" spans="1:1" hidden="1" x14ac:dyDescent="0.35">
      <c r="A787" t="s">
        <v>1369</v>
      </c>
    </row>
    <row r="788" spans="1:1" hidden="1" x14ac:dyDescent="0.35">
      <c r="A788" t="s">
        <v>1370</v>
      </c>
    </row>
    <row r="789" spans="1:1" hidden="1" x14ac:dyDescent="0.35">
      <c r="A789" t="s">
        <v>1371</v>
      </c>
    </row>
    <row r="790" spans="1:1" hidden="1" x14ac:dyDescent="0.35">
      <c r="A790" t="s">
        <v>1372</v>
      </c>
    </row>
    <row r="791" spans="1:1" hidden="1" x14ac:dyDescent="0.35">
      <c r="A791" t="s">
        <v>1373</v>
      </c>
    </row>
    <row r="792" spans="1:1" hidden="1" x14ac:dyDescent="0.35">
      <c r="A792" t="s">
        <v>1374</v>
      </c>
    </row>
    <row r="793" spans="1:1" hidden="1" x14ac:dyDescent="0.35">
      <c r="A793" t="s">
        <v>1375</v>
      </c>
    </row>
    <row r="794" spans="1:1" hidden="1" x14ac:dyDescent="0.35">
      <c r="A794" t="s">
        <v>1376</v>
      </c>
    </row>
    <row r="795" spans="1:1" hidden="1" x14ac:dyDescent="0.35">
      <c r="A795" t="s">
        <v>1367</v>
      </c>
    </row>
    <row r="796" spans="1:1" hidden="1" x14ac:dyDescent="0.35">
      <c r="A796" t="s">
        <v>1377</v>
      </c>
    </row>
    <row r="797" spans="1:1" hidden="1" x14ac:dyDescent="0.35">
      <c r="A797" t="s">
        <v>1378</v>
      </c>
    </row>
    <row r="798" spans="1:1" hidden="1" x14ac:dyDescent="0.35">
      <c r="A798" t="s">
        <v>1379</v>
      </c>
    </row>
    <row r="799" spans="1:1" hidden="1" x14ac:dyDescent="0.35">
      <c r="A799" t="s">
        <v>1380</v>
      </c>
    </row>
    <row r="800" spans="1:1" hidden="1" x14ac:dyDescent="0.35">
      <c r="A800" t="s">
        <v>1349</v>
      </c>
    </row>
    <row r="801" spans="1:1" hidden="1" x14ac:dyDescent="0.35">
      <c r="A801" t="s">
        <v>1381</v>
      </c>
    </row>
    <row r="802" spans="1:1" hidden="1" x14ac:dyDescent="0.35">
      <c r="A802" t="s">
        <v>1382</v>
      </c>
    </row>
    <row r="803" spans="1:1" hidden="1" x14ac:dyDescent="0.35">
      <c r="A803" t="s">
        <v>1383</v>
      </c>
    </row>
    <row r="804" spans="1:1" hidden="1" x14ac:dyDescent="0.35">
      <c r="A804" t="s">
        <v>1294</v>
      </c>
    </row>
    <row r="805" spans="1:1" hidden="1" x14ac:dyDescent="0.35">
      <c r="A805" t="s">
        <v>1384</v>
      </c>
    </row>
    <row r="806" spans="1:1" hidden="1" x14ac:dyDescent="0.35">
      <c r="A806" t="s">
        <v>1385</v>
      </c>
    </row>
    <row r="807" spans="1:1" hidden="1" x14ac:dyDescent="0.35">
      <c r="A807" t="s">
        <v>1386</v>
      </c>
    </row>
    <row r="808" spans="1:1" hidden="1" x14ac:dyDescent="0.35">
      <c r="A808" t="s">
        <v>1387</v>
      </c>
    </row>
    <row r="809" spans="1:1" hidden="1" x14ac:dyDescent="0.35">
      <c r="A809" t="s">
        <v>1388</v>
      </c>
    </row>
    <row r="810" spans="1:1" hidden="1" x14ac:dyDescent="0.35">
      <c r="A810" t="s">
        <v>1389</v>
      </c>
    </row>
    <row r="811" spans="1:1" hidden="1" x14ac:dyDescent="0.35">
      <c r="A811" t="s">
        <v>1390</v>
      </c>
    </row>
    <row r="812" spans="1:1" hidden="1" x14ac:dyDescent="0.35">
      <c r="A812" t="s">
        <v>1391</v>
      </c>
    </row>
    <row r="813" spans="1:1" hidden="1" x14ac:dyDescent="0.35">
      <c r="A813" t="s">
        <v>1392</v>
      </c>
    </row>
    <row r="814" spans="1:1" hidden="1" x14ac:dyDescent="0.35">
      <c r="A814" t="s">
        <v>1393</v>
      </c>
    </row>
    <row r="815" spans="1:1" hidden="1" x14ac:dyDescent="0.35">
      <c r="A815" t="s">
        <v>1394</v>
      </c>
    </row>
    <row r="816" spans="1:1" hidden="1" x14ac:dyDescent="0.35">
      <c r="A816" t="s">
        <v>1395</v>
      </c>
    </row>
    <row r="817" spans="1:1" hidden="1" x14ac:dyDescent="0.35">
      <c r="A817" t="s">
        <v>1395</v>
      </c>
    </row>
    <row r="818" spans="1:1" hidden="1" x14ac:dyDescent="0.35">
      <c r="A818" t="s">
        <v>1396</v>
      </c>
    </row>
    <row r="819" spans="1:1" hidden="1" x14ac:dyDescent="0.35">
      <c r="A819" t="s">
        <v>1397</v>
      </c>
    </row>
    <row r="820" spans="1:1" hidden="1" x14ac:dyDescent="0.35">
      <c r="A820" t="s">
        <v>1398</v>
      </c>
    </row>
    <row r="821" spans="1:1" hidden="1" x14ac:dyDescent="0.35">
      <c r="A821" t="s">
        <v>1399</v>
      </c>
    </row>
    <row r="822" spans="1:1" hidden="1" x14ac:dyDescent="0.35">
      <c r="A822" t="s">
        <v>1400</v>
      </c>
    </row>
    <row r="823" spans="1:1" hidden="1" x14ac:dyDescent="0.35">
      <c r="A823" t="s">
        <v>1401</v>
      </c>
    </row>
    <row r="824" spans="1:1" hidden="1" x14ac:dyDescent="0.35">
      <c r="A824" t="s">
        <v>1402</v>
      </c>
    </row>
    <row r="825" spans="1:1" hidden="1" x14ac:dyDescent="0.35">
      <c r="A825" t="s">
        <v>1331</v>
      </c>
    </row>
    <row r="826" spans="1:1" hidden="1" x14ac:dyDescent="0.35">
      <c r="A826" t="s">
        <v>1331</v>
      </c>
    </row>
    <row r="827" spans="1:1" hidden="1" x14ac:dyDescent="0.35">
      <c r="A827" t="s">
        <v>1403</v>
      </c>
    </row>
    <row r="828" spans="1:1" hidden="1" x14ac:dyDescent="0.35">
      <c r="A828" t="s">
        <v>1403</v>
      </c>
    </row>
    <row r="829" spans="1:1" hidden="1" x14ac:dyDescent="0.35">
      <c r="A829" t="s">
        <v>1404</v>
      </c>
    </row>
    <row r="830" spans="1:1" hidden="1" x14ac:dyDescent="0.35">
      <c r="A830" t="s">
        <v>1405</v>
      </c>
    </row>
    <row r="831" spans="1:1" hidden="1" x14ac:dyDescent="0.35">
      <c r="A831" t="s">
        <v>1362</v>
      </c>
    </row>
    <row r="832" spans="1:1" hidden="1" x14ac:dyDescent="0.35">
      <c r="A832" t="s">
        <v>1406</v>
      </c>
    </row>
    <row r="833" spans="1:1" hidden="1" x14ac:dyDescent="0.35">
      <c r="A833" t="s">
        <v>1407</v>
      </c>
    </row>
    <row r="834" spans="1:1" hidden="1" x14ac:dyDescent="0.35">
      <c r="A834" t="s">
        <v>1408</v>
      </c>
    </row>
    <row r="835" spans="1:1" hidden="1" x14ac:dyDescent="0.35">
      <c r="A835" t="s">
        <v>1282</v>
      </c>
    </row>
    <row r="836" spans="1:1" hidden="1" x14ac:dyDescent="0.35">
      <c r="A836" t="s">
        <v>1409</v>
      </c>
    </row>
    <row r="837" spans="1:1" hidden="1" x14ac:dyDescent="0.35">
      <c r="A837" t="s">
        <v>1410</v>
      </c>
    </row>
    <row r="838" spans="1:1" hidden="1" x14ac:dyDescent="0.35">
      <c r="A838" t="s">
        <v>1411</v>
      </c>
    </row>
    <row r="839" spans="1:1" hidden="1" x14ac:dyDescent="0.35">
      <c r="A839" t="s">
        <v>1412</v>
      </c>
    </row>
    <row r="840" spans="1:1" hidden="1" x14ac:dyDescent="0.35">
      <c r="A840" t="s">
        <v>1413</v>
      </c>
    </row>
    <row r="841" spans="1:1" hidden="1" x14ac:dyDescent="0.35">
      <c r="A841" t="s">
        <v>1414</v>
      </c>
    </row>
    <row r="842" spans="1:1" hidden="1" x14ac:dyDescent="0.35">
      <c r="A842" t="s">
        <v>1415</v>
      </c>
    </row>
    <row r="843" spans="1:1" hidden="1" x14ac:dyDescent="0.35">
      <c r="A843" t="s">
        <v>1366</v>
      </c>
    </row>
    <row r="844" spans="1:1" hidden="1" x14ac:dyDescent="0.35">
      <c r="A844" t="s">
        <v>1293</v>
      </c>
    </row>
    <row r="845" spans="1:1" hidden="1" x14ac:dyDescent="0.35">
      <c r="A845" t="s">
        <v>1416</v>
      </c>
    </row>
    <row r="846" spans="1:1" hidden="1" x14ac:dyDescent="0.35">
      <c r="A846" t="s">
        <v>1417</v>
      </c>
    </row>
    <row r="847" spans="1:1" hidden="1" x14ac:dyDescent="0.35">
      <c r="A847" t="s">
        <v>1418</v>
      </c>
    </row>
    <row r="848" spans="1:1" hidden="1" x14ac:dyDescent="0.35">
      <c r="A848" t="s">
        <v>1419</v>
      </c>
    </row>
    <row r="849" spans="1:1" hidden="1" x14ac:dyDescent="0.35">
      <c r="A849" t="s">
        <v>1420</v>
      </c>
    </row>
    <row r="850" spans="1:1" hidden="1" x14ac:dyDescent="0.35">
      <c r="A850" t="s">
        <v>1388</v>
      </c>
    </row>
    <row r="851" spans="1:1" hidden="1" x14ac:dyDescent="0.35">
      <c r="A851" t="s">
        <v>1364</v>
      </c>
    </row>
    <row r="852" spans="1:1" hidden="1" x14ac:dyDescent="0.35">
      <c r="A852" t="s">
        <v>1421</v>
      </c>
    </row>
    <row r="853" spans="1:1" hidden="1" x14ac:dyDescent="0.35">
      <c r="A853" t="s">
        <v>1422</v>
      </c>
    </row>
    <row r="854" spans="1:1" hidden="1" x14ac:dyDescent="0.35">
      <c r="A854" t="s">
        <v>1423</v>
      </c>
    </row>
    <row r="855" spans="1:1" hidden="1" x14ac:dyDescent="0.35">
      <c r="A855" t="s">
        <v>1424</v>
      </c>
    </row>
    <row r="856" spans="1:1" hidden="1" x14ac:dyDescent="0.35">
      <c r="A856" t="s">
        <v>1304</v>
      </c>
    </row>
    <row r="857" spans="1:1" hidden="1" x14ac:dyDescent="0.35">
      <c r="A857" t="s">
        <v>1425</v>
      </c>
    </row>
    <row r="858" spans="1:1" hidden="1" x14ac:dyDescent="0.35">
      <c r="A858" t="s">
        <v>1301</v>
      </c>
    </row>
    <row r="859" spans="1:1" hidden="1" x14ac:dyDescent="0.35">
      <c r="A859" t="s">
        <v>1301</v>
      </c>
    </row>
    <row r="860" spans="1:1" hidden="1" x14ac:dyDescent="0.35">
      <c r="A860" t="s">
        <v>1426</v>
      </c>
    </row>
    <row r="861" spans="1:1" hidden="1" x14ac:dyDescent="0.35">
      <c r="A861" t="s">
        <v>1426</v>
      </c>
    </row>
    <row r="862" spans="1:1" hidden="1" x14ac:dyDescent="0.35">
      <c r="A862" t="s">
        <v>1427</v>
      </c>
    </row>
    <row r="863" spans="1:1" hidden="1" x14ac:dyDescent="0.35">
      <c r="A863" t="s">
        <v>1428</v>
      </c>
    </row>
    <row r="864" spans="1:1" hidden="1" x14ac:dyDescent="0.35">
      <c r="A864" t="s">
        <v>1429</v>
      </c>
    </row>
    <row r="865" spans="1:1" hidden="1" x14ac:dyDescent="0.35">
      <c r="A865" t="s">
        <v>1405</v>
      </c>
    </row>
    <row r="866" spans="1:1" hidden="1" x14ac:dyDescent="0.35">
      <c r="A866" t="s">
        <v>1430</v>
      </c>
    </row>
    <row r="867" spans="1:1" hidden="1" x14ac:dyDescent="0.35">
      <c r="A867" t="s">
        <v>1431</v>
      </c>
    </row>
    <row r="868" spans="1:1" hidden="1" x14ac:dyDescent="0.35">
      <c r="A868" t="s">
        <v>1431</v>
      </c>
    </row>
    <row r="869" spans="1:1" hidden="1" x14ac:dyDescent="0.35">
      <c r="A869" t="s">
        <v>1432</v>
      </c>
    </row>
    <row r="870" spans="1:1" hidden="1" x14ac:dyDescent="0.35">
      <c r="A870" t="s">
        <v>1398</v>
      </c>
    </row>
    <row r="871" spans="1:1" hidden="1" x14ac:dyDescent="0.35">
      <c r="A871" t="s">
        <v>1433</v>
      </c>
    </row>
    <row r="872" spans="1:1" hidden="1" x14ac:dyDescent="0.35">
      <c r="A872" t="s">
        <v>1349</v>
      </c>
    </row>
    <row r="873" spans="1:1" hidden="1" x14ac:dyDescent="0.35">
      <c r="A873" t="s">
        <v>1349</v>
      </c>
    </row>
    <row r="874" spans="1:1" hidden="1" x14ac:dyDescent="0.35">
      <c r="A874" t="s">
        <v>1434</v>
      </c>
    </row>
    <row r="875" spans="1:1" hidden="1" x14ac:dyDescent="0.35">
      <c r="A875" t="s">
        <v>1435</v>
      </c>
    </row>
    <row r="876" spans="1:1" hidden="1" x14ac:dyDescent="0.35">
      <c r="A876" t="s">
        <v>1316</v>
      </c>
    </row>
    <row r="877" spans="1:1" hidden="1" x14ac:dyDescent="0.35">
      <c r="A877" t="s">
        <v>1436</v>
      </c>
    </row>
    <row r="878" spans="1:1" hidden="1" x14ac:dyDescent="0.35">
      <c r="A878" t="s">
        <v>1437</v>
      </c>
    </row>
    <row r="879" spans="1:1" hidden="1" x14ac:dyDescent="0.35">
      <c r="A879" t="s">
        <v>1438</v>
      </c>
    </row>
    <row r="880" spans="1:1" hidden="1" x14ac:dyDescent="0.35">
      <c r="A880" t="s">
        <v>1439</v>
      </c>
    </row>
    <row r="881" spans="1:1" hidden="1" x14ac:dyDescent="0.35">
      <c r="A881" t="s">
        <v>1440</v>
      </c>
    </row>
    <row r="882" spans="1:1" hidden="1" x14ac:dyDescent="0.35">
      <c r="A882" t="s">
        <v>1353</v>
      </c>
    </row>
    <row r="883" spans="1:1" hidden="1" x14ac:dyDescent="0.35">
      <c r="A883" t="s">
        <v>1441</v>
      </c>
    </row>
    <row r="884" spans="1:1" hidden="1" x14ac:dyDescent="0.35">
      <c r="A884" t="s">
        <v>1442</v>
      </c>
    </row>
    <row r="885" spans="1:1" hidden="1" x14ac:dyDescent="0.35">
      <c r="A885" t="s">
        <v>1443</v>
      </c>
    </row>
    <row r="886" spans="1:1" hidden="1" x14ac:dyDescent="0.35">
      <c r="A886" t="s">
        <v>1444</v>
      </c>
    </row>
    <row r="887" spans="1:1" hidden="1" x14ac:dyDescent="0.35">
      <c r="A887" t="s">
        <v>1445</v>
      </c>
    </row>
    <row r="888" spans="1:1" hidden="1" x14ac:dyDescent="0.35">
      <c r="A888" t="s">
        <v>1337</v>
      </c>
    </row>
    <row r="889" spans="1:1" hidden="1" x14ac:dyDescent="0.35">
      <c r="A889" t="s">
        <v>1446</v>
      </c>
    </row>
    <row r="890" spans="1:1" hidden="1" x14ac:dyDescent="0.35">
      <c r="A890" t="s">
        <v>1447</v>
      </c>
    </row>
    <row r="891" spans="1:1" hidden="1" x14ac:dyDescent="0.35">
      <c r="A891" t="s">
        <v>1448</v>
      </c>
    </row>
    <row r="892" spans="1:1" hidden="1" x14ac:dyDescent="0.35">
      <c r="A892" t="s">
        <v>1315</v>
      </c>
    </row>
    <row r="893" spans="1:1" hidden="1" x14ac:dyDescent="0.35">
      <c r="A893" t="s">
        <v>1449</v>
      </c>
    </row>
    <row r="894" spans="1:1" hidden="1" x14ac:dyDescent="0.35">
      <c r="A894" t="s">
        <v>1450</v>
      </c>
    </row>
    <row r="895" spans="1:1" hidden="1" x14ac:dyDescent="0.35">
      <c r="A895" t="s">
        <v>1294</v>
      </c>
    </row>
    <row r="896" spans="1:1" hidden="1" x14ac:dyDescent="0.35">
      <c r="A896" t="s">
        <v>1313</v>
      </c>
    </row>
    <row r="897" spans="1:1" hidden="1" x14ac:dyDescent="0.35">
      <c r="A897" t="s">
        <v>1334</v>
      </c>
    </row>
    <row r="898" spans="1:1" hidden="1" x14ac:dyDescent="0.35">
      <c r="A898" t="s">
        <v>1354</v>
      </c>
    </row>
    <row r="899" spans="1:1" hidden="1" x14ac:dyDescent="0.35">
      <c r="A899" t="s">
        <v>1301</v>
      </c>
    </row>
    <row r="900" spans="1:1" hidden="1" x14ac:dyDescent="0.35">
      <c r="A900" t="s">
        <v>1388</v>
      </c>
    </row>
    <row r="901" spans="1:1" hidden="1" x14ac:dyDescent="0.35">
      <c r="A901" t="s">
        <v>1451</v>
      </c>
    </row>
    <row r="902" spans="1:1" hidden="1" x14ac:dyDescent="0.35">
      <c r="A902" t="s">
        <v>1452</v>
      </c>
    </row>
    <row r="903" spans="1:1" hidden="1" x14ac:dyDescent="0.35">
      <c r="A903" t="s">
        <v>1312</v>
      </c>
    </row>
    <row r="904" spans="1:1" hidden="1" x14ac:dyDescent="0.35">
      <c r="A904" t="s">
        <v>1453</v>
      </c>
    </row>
    <row r="905" spans="1:1" hidden="1" x14ac:dyDescent="0.35">
      <c r="A905" t="s">
        <v>1454</v>
      </c>
    </row>
    <row r="906" spans="1:1" hidden="1" x14ac:dyDescent="0.35">
      <c r="A906" t="s">
        <v>1362</v>
      </c>
    </row>
    <row r="907" spans="1:1" hidden="1" x14ac:dyDescent="0.35">
      <c r="A907" t="s">
        <v>1455</v>
      </c>
    </row>
    <row r="908" spans="1:1" hidden="1" x14ac:dyDescent="0.35">
      <c r="A908" t="s">
        <v>1455</v>
      </c>
    </row>
    <row r="909" spans="1:1" hidden="1" x14ac:dyDescent="0.35">
      <c r="A909" t="s">
        <v>1310</v>
      </c>
    </row>
    <row r="910" spans="1:1" hidden="1" x14ac:dyDescent="0.35">
      <c r="A910" t="s">
        <v>1432</v>
      </c>
    </row>
    <row r="911" spans="1:1" hidden="1" x14ac:dyDescent="0.35">
      <c r="A911" t="s">
        <v>1456</v>
      </c>
    </row>
    <row r="912" spans="1:1" hidden="1" x14ac:dyDescent="0.35">
      <c r="A912" t="s">
        <v>1457</v>
      </c>
    </row>
    <row r="913" spans="1:1" hidden="1" x14ac:dyDescent="0.35">
      <c r="A913" t="s">
        <v>1458</v>
      </c>
    </row>
    <row r="914" spans="1:1" hidden="1" x14ac:dyDescent="0.35">
      <c r="A914" t="s">
        <v>1459</v>
      </c>
    </row>
    <row r="915" spans="1:1" hidden="1" x14ac:dyDescent="0.35">
      <c r="A915" t="s">
        <v>1460</v>
      </c>
    </row>
    <row r="916" spans="1:1" hidden="1" x14ac:dyDescent="0.35">
      <c r="A916" t="s">
        <v>1386</v>
      </c>
    </row>
    <row r="917" spans="1:1" hidden="1" x14ac:dyDescent="0.35">
      <c r="A917" t="s">
        <v>1461</v>
      </c>
    </row>
    <row r="918" spans="1:1" hidden="1" x14ac:dyDescent="0.35">
      <c r="A918" t="s">
        <v>1369</v>
      </c>
    </row>
    <row r="919" spans="1:1" hidden="1" x14ac:dyDescent="0.35">
      <c r="A919" t="s">
        <v>1462</v>
      </c>
    </row>
    <row r="920" spans="1:1" hidden="1" x14ac:dyDescent="0.35">
      <c r="A920" t="s">
        <v>1463</v>
      </c>
    </row>
    <row r="921" spans="1:1" hidden="1" x14ac:dyDescent="0.35">
      <c r="A921" t="s">
        <v>1464</v>
      </c>
    </row>
    <row r="922" spans="1:1" hidden="1" x14ac:dyDescent="0.35">
      <c r="A922" t="s">
        <v>1464</v>
      </c>
    </row>
    <row r="923" spans="1:1" hidden="1" x14ac:dyDescent="0.35">
      <c r="A923" t="s">
        <v>1465</v>
      </c>
    </row>
    <row r="924" spans="1:1" hidden="1" x14ac:dyDescent="0.35">
      <c r="A924" t="s">
        <v>1466</v>
      </c>
    </row>
    <row r="925" spans="1:1" hidden="1" x14ac:dyDescent="0.35">
      <c r="A925" t="s">
        <v>1467</v>
      </c>
    </row>
    <row r="926" spans="1:1" hidden="1" x14ac:dyDescent="0.35">
      <c r="A926" t="s">
        <v>1468</v>
      </c>
    </row>
    <row r="927" spans="1:1" hidden="1" x14ac:dyDescent="0.35">
      <c r="A927" t="s">
        <v>1469</v>
      </c>
    </row>
    <row r="928" spans="1:1" hidden="1" x14ac:dyDescent="0.35">
      <c r="A928" t="s">
        <v>1470</v>
      </c>
    </row>
    <row r="929" spans="1:1" hidden="1" x14ac:dyDescent="0.35">
      <c r="A929" t="s">
        <v>1471</v>
      </c>
    </row>
    <row r="930" spans="1:1" hidden="1" x14ac:dyDescent="0.35">
      <c r="A930" t="s">
        <v>1472</v>
      </c>
    </row>
    <row r="931" spans="1:1" hidden="1" x14ac:dyDescent="0.35">
      <c r="A931" t="s">
        <v>1472</v>
      </c>
    </row>
    <row r="932" spans="1:1" hidden="1" x14ac:dyDescent="0.35">
      <c r="A932" t="s">
        <v>1473</v>
      </c>
    </row>
    <row r="933" spans="1:1" hidden="1" x14ac:dyDescent="0.35">
      <c r="A933" t="s">
        <v>1474</v>
      </c>
    </row>
    <row r="934" spans="1:1" hidden="1" x14ac:dyDescent="0.35">
      <c r="A934" t="s">
        <v>1475</v>
      </c>
    </row>
    <row r="935" spans="1:1" hidden="1" x14ac:dyDescent="0.35">
      <c r="A935" t="s">
        <v>1476</v>
      </c>
    </row>
    <row r="936" spans="1:1" hidden="1" x14ac:dyDescent="0.35">
      <c r="A936" t="s">
        <v>1477</v>
      </c>
    </row>
    <row r="937" spans="1:1" hidden="1" x14ac:dyDescent="0.35">
      <c r="A937" t="s">
        <v>1478</v>
      </c>
    </row>
    <row r="938" spans="1:1" hidden="1" x14ac:dyDescent="0.35">
      <c r="A938" t="s">
        <v>1479</v>
      </c>
    </row>
    <row r="939" spans="1:1" hidden="1" x14ac:dyDescent="0.35">
      <c r="A939" t="s">
        <v>1480</v>
      </c>
    </row>
    <row r="940" spans="1:1" hidden="1" x14ac:dyDescent="0.35">
      <c r="A940" t="s">
        <v>1481</v>
      </c>
    </row>
    <row r="941" spans="1:1" hidden="1" x14ac:dyDescent="0.35">
      <c r="A941" t="s">
        <v>1482</v>
      </c>
    </row>
    <row r="942" spans="1:1" hidden="1" x14ac:dyDescent="0.35">
      <c r="A942" t="s">
        <v>1483</v>
      </c>
    </row>
    <row r="943" spans="1:1" hidden="1" x14ac:dyDescent="0.35">
      <c r="A943" t="s">
        <v>1484</v>
      </c>
    </row>
    <row r="944" spans="1:1" hidden="1" x14ac:dyDescent="0.35">
      <c r="A944" t="s">
        <v>1484</v>
      </c>
    </row>
    <row r="945" spans="1:1" hidden="1" x14ac:dyDescent="0.35">
      <c r="A945" t="s">
        <v>1485</v>
      </c>
    </row>
    <row r="946" spans="1:1" hidden="1" x14ac:dyDescent="0.35">
      <c r="A946" t="s">
        <v>1486</v>
      </c>
    </row>
    <row r="947" spans="1:1" hidden="1" x14ac:dyDescent="0.35">
      <c r="A947" t="s">
        <v>1487</v>
      </c>
    </row>
    <row r="948" spans="1:1" hidden="1" x14ac:dyDescent="0.35">
      <c r="A948" t="s">
        <v>1488</v>
      </c>
    </row>
    <row r="949" spans="1:1" hidden="1" x14ac:dyDescent="0.35">
      <c r="A949" t="s">
        <v>1489</v>
      </c>
    </row>
    <row r="950" spans="1:1" hidden="1" x14ac:dyDescent="0.35">
      <c r="A950" t="s">
        <v>1490</v>
      </c>
    </row>
    <row r="951" spans="1:1" hidden="1" x14ac:dyDescent="0.35">
      <c r="A951" t="s">
        <v>1491</v>
      </c>
    </row>
    <row r="952" spans="1:1" hidden="1" x14ac:dyDescent="0.35">
      <c r="A952" t="s">
        <v>1492</v>
      </c>
    </row>
    <row r="953" spans="1:1" hidden="1" x14ac:dyDescent="0.35">
      <c r="A953" t="s">
        <v>1493</v>
      </c>
    </row>
    <row r="954" spans="1:1" hidden="1" x14ac:dyDescent="0.35">
      <c r="A954" t="s">
        <v>1494</v>
      </c>
    </row>
    <row r="955" spans="1:1" hidden="1" x14ac:dyDescent="0.35">
      <c r="A955" t="s">
        <v>1495</v>
      </c>
    </row>
    <row r="956" spans="1:1" hidden="1" x14ac:dyDescent="0.35">
      <c r="A956" t="s">
        <v>1495</v>
      </c>
    </row>
    <row r="957" spans="1:1" hidden="1" x14ac:dyDescent="0.35">
      <c r="A957" t="s">
        <v>1496</v>
      </c>
    </row>
    <row r="958" spans="1:1" hidden="1" x14ac:dyDescent="0.35">
      <c r="A958" t="s">
        <v>1497</v>
      </c>
    </row>
    <row r="959" spans="1:1" hidden="1" x14ac:dyDescent="0.35">
      <c r="A959" t="s">
        <v>1498</v>
      </c>
    </row>
    <row r="960" spans="1:1" hidden="1" x14ac:dyDescent="0.35">
      <c r="A960" t="s">
        <v>1499</v>
      </c>
    </row>
    <row r="961" spans="1:1" hidden="1" x14ac:dyDescent="0.35">
      <c r="A961" t="s">
        <v>1500</v>
      </c>
    </row>
    <row r="962" spans="1:1" hidden="1" x14ac:dyDescent="0.35">
      <c r="A962" t="s">
        <v>1501</v>
      </c>
    </row>
    <row r="963" spans="1:1" hidden="1" x14ac:dyDescent="0.35">
      <c r="A963" t="s">
        <v>1502</v>
      </c>
    </row>
    <row r="964" spans="1:1" hidden="1" x14ac:dyDescent="0.35">
      <c r="A964" t="s">
        <v>1503</v>
      </c>
    </row>
    <row r="965" spans="1:1" hidden="1" x14ac:dyDescent="0.35">
      <c r="A965" t="s">
        <v>1504</v>
      </c>
    </row>
    <row r="966" spans="1:1" hidden="1" x14ac:dyDescent="0.35">
      <c r="A966" t="s">
        <v>1505</v>
      </c>
    </row>
    <row r="967" spans="1:1" hidden="1" x14ac:dyDescent="0.35">
      <c r="A967" t="s">
        <v>1506</v>
      </c>
    </row>
    <row r="968" spans="1:1" hidden="1" x14ac:dyDescent="0.35">
      <c r="A968" t="s">
        <v>1507</v>
      </c>
    </row>
    <row r="969" spans="1:1" hidden="1" x14ac:dyDescent="0.35">
      <c r="A969" t="s">
        <v>1508</v>
      </c>
    </row>
    <row r="970" spans="1:1" hidden="1" x14ac:dyDescent="0.35">
      <c r="A970" t="s">
        <v>1509</v>
      </c>
    </row>
    <row r="971" spans="1:1" hidden="1" x14ac:dyDescent="0.35">
      <c r="A971" t="s">
        <v>1510</v>
      </c>
    </row>
    <row r="972" spans="1:1" hidden="1" x14ac:dyDescent="0.35">
      <c r="A972" t="s">
        <v>1511</v>
      </c>
    </row>
    <row r="973" spans="1:1" hidden="1" x14ac:dyDescent="0.35">
      <c r="A973" t="s">
        <v>1512</v>
      </c>
    </row>
    <row r="974" spans="1:1" hidden="1" x14ac:dyDescent="0.35">
      <c r="A974" t="s">
        <v>1467</v>
      </c>
    </row>
    <row r="975" spans="1:1" hidden="1" x14ac:dyDescent="0.35">
      <c r="A975" t="s">
        <v>1513</v>
      </c>
    </row>
    <row r="976" spans="1:1" hidden="1" x14ac:dyDescent="0.35">
      <c r="A976" t="s">
        <v>1514</v>
      </c>
    </row>
    <row r="977" spans="1:1" hidden="1" x14ac:dyDescent="0.35">
      <c r="A977" t="s">
        <v>1515</v>
      </c>
    </row>
    <row r="978" spans="1:1" hidden="1" x14ac:dyDescent="0.35">
      <c r="A978" t="s">
        <v>1516</v>
      </c>
    </row>
    <row r="979" spans="1:1" hidden="1" x14ac:dyDescent="0.35">
      <c r="A979" t="s">
        <v>1517</v>
      </c>
    </row>
    <row r="980" spans="1:1" hidden="1" x14ac:dyDescent="0.35">
      <c r="A980" t="s">
        <v>1479</v>
      </c>
    </row>
    <row r="981" spans="1:1" hidden="1" x14ac:dyDescent="0.35">
      <c r="A981" t="s">
        <v>1485</v>
      </c>
    </row>
    <row r="982" spans="1:1" hidden="1" x14ac:dyDescent="0.35">
      <c r="A982" t="s">
        <v>1518</v>
      </c>
    </row>
    <row r="983" spans="1:1" hidden="1" x14ac:dyDescent="0.35">
      <c r="A983" t="s">
        <v>1519</v>
      </c>
    </row>
    <row r="984" spans="1:1" hidden="1" x14ac:dyDescent="0.35">
      <c r="A984" t="s">
        <v>1520</v>
      </c>
    </row>
    <row r="985" spans="1:1" hidden="1" x14ac:dyDescent="0.35">
      <c r="A985" t="s">
        <v>1521</v>
      </c>
    </row>
    <row r="986" spans="1:1" hidden="1" x14ac:dyDescent="0.35">
      <c r="A986" t="s">
        <v>1522</v>
      </c>
    </row>
    <row r="987" spans="1:1" hidden="1" x14ac:dyDescent="0.35">
      <c r="A987" t="s">
        <v>1523</v>
      </c>
    </row>
    <row r="988" spans="1:1" hidden="1" x14ac:dyDescent="0.35">
      <c r="A988" t="s">
        <v>1524</v>
      </c>
    </row>
    <row r="989" spans="1:1" hidden="1" x14ac:dyDescent="0.35">
      <c r="A989" t="s">
        <v>1525</v>
      </c>
    </row>
    <row r="990" spans="1:1" hidden="1" x14ac:dyDescent="0.35">
      <c r="A990" t="s">
        <v>1526</v>
      </c>
    </row>
    <row r="991" spans="1:1" hidden="1" x14ac:dyDescent="0.35">
      <c r="A991" t="s">
        <v>1527</v>
      </c>
    </row>
    <row r="992" spans="1:1" hidden="1" x14ac:dyDescent="0.35">
      <c r="A992" t="s">
        <v>1528</v>
      </c>
    </row>
    <row r="993" spans="1:1" hidden="1" x14ac:dyDescent="0.35">
      <c r="A993" t="s">
        <v>1529</v>
      </c>
    </row>
    <row r="994" spans="1:1" hidden="1" x14ac:dyDescent="0.35">
      <c r="A994" t="s">
        <v>1530</v>
      </c>
    </row>
    <row r="995" spans="1:1" hidden="1" x14ac:dyDescent="0.35">
      <c r="A995" t="s">
        <v>1531</v>
      </c>
    </row>
    <row r="996" spans="1:1" hidden="1" x14ac:dyDescent="0.35">
      <c r="A996" t="s">
        <v>1532</v>
      </c>
    </row>
    <row r="997" spans="1:1" hidden="1" x14ac:dyDescent="0.35">
      <c r="A997" t="s">
        <v>1533</v>
      </c>
    </row>
    <row r="998" spans="1:1" hidden="1" x14ac:dyDescent="0.35">
      <c r="A998" t="s">
        <v>1533</v>
      </c>
    </row>
    <row r="999" spans="1:1" hidden="1" x14ac:dyDescent="0.35">
      <c r="A999" t="s">
        <v>1534</v>
      </c>
    </row>
    <row r="1000" spans="1:1" hidden="1" x14ac:dyDescent="0.35">
      <c r="A1000" t="s">
        <v>1535</v>
      </c>
    </row>
    <row r="1001" spans="1:1" hidden="1" x14ac:dyDescent="0.35">
      <c r="A1001" t="s">
        <v>1536</v>
      </c>
    </row>
    <row r="1002" spans="1:1" hidden="1" x14ac:dyDescent="0.35">
      <c r="A1002" t="s">
        <v>1537</v>
      </c>
    </row>
    <row r="1003" spans="1:1" hidden="1" x14ac:dyDescent="0.35">
      <c r="A1003" t="s">
        <v>1538</v>
      </c>
    </row>
  </sheetData>
  <sheetProtection algorithmName="SHA-512" hashValue="RJSM1HreCy3hc3L+EV1ShoduDKoZIlABWJ52tO2rexZdwp1SWwmfJ9lnlZ8202d5e5UJDQKyVdPQ9NJ6ChYwgw==" saltValue="Q/HFgNRyw4s5UNP18a8rj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Description</vt:lpstr>
      <vt:lpstr>Main 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rizkysifaul</dc:creator>
  <cp:lastModifiedBy>lindaroza509@gmail.com</cp:lastModifiedBy>
  <dcterms:created xsi:type="dcterms:W3CDTF">2022-05-15T10:15:59Z</dcterms:created>
  <dcterms:modified xsi:type="dcterms:W3CDTF">2026-04-25T16:40:42Z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8d462-42cc-4ffe-841e-377ea32349cf_Enabled">
    <vt:lpwstr>true</vt:lpwstr>
  </property>
  <property fmtid="{D5CDD505-2E9C-101B-9397-08002B2CF9AE}" pid="3" name="MSIP_Label_0328d462-42cc-4ffe-841e-377ea32349cf_SetDate">
    <vt:lpwstr>2022-08-07T16:04:57Z</vt:lpwstr>
  </property>
  <property fmtid="{D5CDD505-2E9C-101B-9397-08002B2CF9AE}" pid="4" name="MSIP_Label_0328d462-42cc-4ffe-841e-377ea32349cf_Method">
    <vt:lpwstr>Privileged</vt:lpwstr>
  </property>
  <property fmtid="{D5CDD505-2E9C-101B-9397-08002B2CF9AE}" pid="5" name="MSIP_Label_0328d462-42cc-4ffe-841e-377ea32349cf_Name">
    <vt:lpwstr>PUBLIC</vt:lpwstr>
  </property>
  <property fmtid="{D5CDD505-2E9C-101B-9397-08002B2CF9AE}" pid="6" name="MSIP_Label_0328d462-42cc-4ffe-841e-377ea32349cf_SiteId">
    <vt:lpwstr>5a0b86e1-3af7-4d16-a63e-afe55beab795</vt:lpwstr>
  </property>
  <property fmtid="{D5CDD505-2E9C-101B-9397-08002B2CF9AE}" pid="7" name="MSIP_Label_0328d462-42cc-4ffe-841e-377ea32349cf_ActionId">
    <vt:lpwstr>3c7feed2-99d0-4f6f-96e7-5c4b2990420c</vt:lpwstr>
  </property>
  <property fmtid="{D5CDD505-2E9C-101B-9397-08002B2CF9AE}" pid="8" name="MSIP_Label_0328d462-42cc-4ffe-841e-377ea32349cf_ContentBits">
    <vt:lpwstr>0</vt:lpwstr>
  </property>
</Properties>
</file>