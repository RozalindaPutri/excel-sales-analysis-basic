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Ngajar\MySkill\Materi\Bootcamp\Fix\"/>
    </mc:Choice>
  </mc:AlternateContent>
  <xr:revisionPtr revIDLastSave="0" documentId="8_{4C7CA518-CD23-49B0-8907-D6F87BCEC9CC}" xr6:coauthVersionLast="47" xr6:coauthVersionMax="47" xr10:uidLastSave="{00000000-0000-0000-0000-000000000000}"/>
  <bookViews>
    <workbookView xWindow="-120" yWindow="-120" windowWidth="29040" windowHeight="15720" xr2:uid="{5176BF80-40A1-4BBE-9FBE-7AE0CD39B52A}"/>
  </bookViews>
  <sheets>
    <sheet name="Data" sheetId="1" r:id="rId1"/>
    <sheet name="Helper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K4" i="1"/>
  <c r="J4" i="1"/>
</calcChain>
</file>

<file path=xl/sharedStrings.xml><?xml version="1.0" encoding="utf-8"?>
<sst xmlns="http://schemas.openxmlformats.org/spreadsheetml/2006/main" count="265" uniqueCount="208">
  <si>
    <t>Email</t>
  </si>
  <si>
    <t>E1001</t>
  </si>
  <si>
    <t>Raina</t>
  </si>
  <si>
    <t>Aryani</t>
  </si>
  <si>
    <t>raina.aryani-e@myskill.com</t>
  </si>
  <si>
    <t>Executive</t>
  </si>
  <si>
    <t>Surabaya 10-827</t>
  </si>
  <si>
    <t>E1002</t>
  </si>
  <si>
    <t>Tari</t>
  </si>
  <si>
    <t>Anggraini</t>
  </si>
  <si>
    <t>Human Resources</t>
  </si>
  <si>
    <t>Jakarta 11-806</t>
  </si>
  <si>
    <t>E1003</t>
  </si>
  <si>
    <t>Karen</t>
  </si>
  <si>
    <t>Riyanti</t>
  </si>
  <si>
    <t>iT</t>
  </si>
  <si>
    <t>Jakarta 10-584</t>
  </si>
  <si>
    <t>E1004</t>
  </si>
  <si>
    <t>Titin</t>
  </si>
  <si>
    <t>Datas</t>
  </si>
  <si>
    <t>Yogyakarta 10-385</t>
  </si>
  <si>
    <t>E1005</t>
  </si>
  <si>
    <t>Ilsa</t>
  </si>
  <si>
    <t>Utami</t>
  </si>
  <si>
    <t>Sales</t>
  </si>
  <si>
    <t>Jakarta 12-766</t>
  </si>
  <si>
    <t>E1006</t>
  </si>
  <si>
    <t>Jessica</t>
  </si>
  <si>
    <t>Hariyah</t>
  </si>
  <si>
    <t>Customer Service</t>
  </si>
  <si>
    <t>Surabaya 12-388</t>
  </si>
  <si>
    <t>Almira</t>
  </si>
  <si>
    <t>Hasanah</t>
  </si>
  <si>
    <t>Jakarta 11-594</t>
  </si>
  <si>
    <t>E1008</t>
  </si>
  <si>
    <t>Sari</t>
  </si>
  <si>
    <t>Astuti</t>
  </si>
  <si>
    <t>Yogyakarta 12-654</t>
  </si>
  <si>
    <t>E1009</t>
  </si>
  <si>
    <t>HumanResources</t>
  </si>
  <si>
    <t>Jakarta 10-851</t>
  </si>
  <si>
    <t>E1010</t>
  </si>
  <si>
    <t>Vivi</t>
  </si>
  <si>
    <t>Andriani</t>
  </si>
  <si>
    <t>Jakarta 11-316</t>
  </si>
  <si>
    <t>E1011</t>
  </si>
  <si>
    <t>Eka</t>
  </si>
  <si>
    <t>Nashiruddin</t>
  </si>
  <si>
    <t>Jakarta 10-797</t>
  </si>
  <si>
    <t>E1012</t>
  </si>
  <si>
    <t>Adiarja</t>
  </si>
  <si>
    <t>Sirait</t>
  </si>
  <si>
    <t>IT</t>
  </si>
  <si>
    <t>Surabaya 10-779</t>
  </si>
  <si>
    <t>E1013</t>
  </si>
  <si>
    <t>Sidiq</t>
  </si>
  <si>
    <t>Pranowo</t>
  </si>
  <si>
    <t>Data</t>
  </si>
  <si>
    <t>Yogyakarta 10-878</t>
  </si>
  <si>
    <t>E1014</t>
  </si>
  <si>
    <t>Harsana</t>
  </si>
  <si>
    <t>Budiman</t>
  </si>
  <si>
    <t>Human Resource</t>
  </si>
  <si>
    <t>Jakarta 11-663</t>
  </si>
  <si>
    <t>E1015</t>
  </si>
  <si>
    <t>Galar</t>
  </si>
  <si>
    <t>Halim</t>
  </si>
  <si>
    <t>Surabaya 11-426</t>
  </si>
  <si>
    <t>E1016</t>
  </si>
  <si>
    <t>Kardi</t>
  </si>
  <si>
    <t>Saptono</t>
  </si>
  <si>
    <t>Jakarta 10-459</t>
  </si>
  <si>
    <t>E1017</t>
  </si>
  <si>
    <t>Sabar</t>
  </si>
  <si>
    <t>Situmorang</t>
  </si>
  <si>
    <t>Saless</t>
  </si>
  <si>
    <t>Yogyakarta 12-465</t>
  </si>
  <si>
    <t>E1018</t>
  </si>
  <si>
    <t>Dimaz</t>
  </si>
  <si>
    <t>Zulkarnain</t>
  </si>
  <si>
    <t>Surabaya 12-440</t>
  </si>
  <si>
    <t>E1019</t>
  </si>
  <si>
    <t>Balapati</t>
  </si>
  <si>
    <t>Prasetya</t>
  </si>
  <si>
    <t>Jakarta 10-828</t>
  </si>
  <si>
    <t>E1020</t>
  </si>
  <si>
    <t>Eja</t>
  </si>
  <si>
    <t>Widodo</t>
  </si>
  <si>
    <t>Surabaya 11-611</t>
  </si>
  <si>
    <t>E1021</t>
  </si>
  <si>
    <t>Prabu</t>
  </si>
  <si>
    <t>Haryanto</t>
  </si>
  <si>
    <t>Surabaya 11-722</t>
  </si>
  <si>
    <t>E1022</t>
  </si>
  <si>
    <t>Putra</t>
  </si>
  <si>
    <t>Jakarta 11-807</t>
  </si>
  <si>
    <t>E1023</t>
  </si>
  <si>
    <t>Gambira</t>
  </si>
  <si>
    <t>Jakarta 12-854</t>
  </si>
  <si>
    <t>E1024</t>
  </si>
  <si>
    <t>Salman</t>
  </si>
  <si>
    <t>Wasita</t>
  </si>
  <si>
    <t>lT</t>
  </si>
  <si>
    <t>Jakarta 12-348</t>
  </si>
  <si>
    <t>E1025</t>
  </si>
  <si>
    <t>Wardaya</t>
  </si>
  <si>
    <t>Dongoran</t>
  </si>
  <si>
    <t>Jakarta 10-401</t>
  </si>
  <si>
    <t>E1026</t>
  </si>
  <si>
    <t>Kania</t>
  </si>
  <si>
    <t>Permata</t>
  </si>
  <si>
    <t>Surabaya 11-701</t>
  </si>
  <si>
    <t>I1110</t>
  </si>
  <si>
    <t>Eva</t>
  </si>
  <si>
    <t>Yolanda</t>
  </si>
  <si>
    <t>Surabaya 12-360</t>
  </si>
  <si>
    <t>I1111</t>
  </si>
  <si>
    <t>Amalia</t>
  </si>
  <si>
    <t>Yuniar</t>
  </si>
  <si>
    <t>Surabaya 11-605</t>
  </si>
  <si>
    <t>I1112</t>
  </si>
  <si>
    <t>Ade</t>
  </si>
  <si>
    <t>Rahayu</t>
  </si>
  <si>
    <t>Surabaya 12-408</t>
  </si>
  <si>
    <t>E1027</t>
  </si>
  <si>
    <t>Zizi</t>
  </si>
  <si>
    <t>Dataa</t>
  </si>
  <si>
    <t>Yogyakarta 11-315</t>
  </si>
  <si>
    <t>E1028</t>
  </si>
  <si>
    <t>Gaduh</t>
  </si>
  <si>
    <t>Pratama</t>
  </si>
  <si>
    <t>Account Manager</t>
  </si>
  <si>
    <t>Surabaya 12-407</t>
  </si>
  <si>
    <t>E1029</t>
  </si>
  <si>
    <t>Laras</t>
  </si>
  <si>
    <t>Nuraini</t>
  </si>
  <si>
    <t>Jakarta 10-503</t>
  </si>
  <si>
    <t>E1030</t>
  </si>
  <si>
    <t>Cinthia</t>
  </si>
  <si>
    <t>Gunawan</t>
  </si>
  <si>
    <t>Yogyakarta 11-816</t>
  </si>
  <si>
    <t>E1031</t>
  </si>
  <si>
    <t>Bagiya</t>
  </si>
  <si>
    <t>Sihombing</t>
  </si>
  <si>
    <t>Jakarta 10-852</t>
  </si>
  <si>
    <t>E1032</t>
  </si>
  <si>
    <t>Violet</t>
  </si>
  <si>
    <t>Mentari</t>
  </si>
  <si>
    <t>Yogyakarta 12-689</t>
  </si>
  <si>
    <t>E1033</t>
  </si>
  <si>
    <t>Paiman</t>
  </si>
  <si>
    <t>Firgantoro</t>
  </si>
  <si>
    <t>Surabaya 12-465</t>
  </si>
  <si>
    <t>E1034</t>
  </si>
  <si>
    <t>Ophelia</t>
  </si>
  <si>
    <t>Mustofa</t>
  </si>
  <si>
    <t>Jakarta 12-498</t>
  </si>
  <si>
    <t>E1035</t>
  </si>
  <si>
    <t>Darmanto</t>
  </si>
  <si>
    <t>Laksita</t>
  </si>
  <si>
    <t>Surabaya 10-404</t>
  </si>
  <si>
    <t>E1036</t>
  </si>
  <si>
    <t>Kenari</t>
  </si>
  <si>
    <t>Rajasa</t>
  </si>
  <si>
    <t>Yogyakarta 11-688</t>
  </si>
  <si>
    <t>E1037</t>
  </si>
  <si>
    <t>Puti</t>
  </si>
  <si>
    <t>Nadine Prakasa</t>
  </si>
  <si>
    <t>Jakarta 12-689</t>
  </si>
  <si>
    <t>E1038</t>
  </si>
  <si>
    <t>Clara</t>
  </si>
  <si>
    <t>Prasetyo</t>
  </si>
  <si>
    <t>Yogyakarta 11-684</t>
  </si>
  <si>
    <t>E1039</t>
  </si>
  <si>
    <t>Nabila</t>
  </si>
  <si>
    <t>Prakasa</t>
  </si>
  <si>
    <t>Jakarta 12-626</t>
  </si>
  <si>
    <t>E1040</t>
  </si>
  <si>
    <t>Sutan</t>
  </si>
  <si>
    <t>Tirtayasa Wasita</t>
  </si>
  <si>
    <t>Surabaya 11-585</t>
  </si>
  <si>
    <t>Winarno</t>
  </si>
  <si>
    <t>Yogyakarta 10-398</t>
  </si>
  <si>
    <t>Employee Database</t>
  </si>
  <si>
    <t>I1007</t>
  </si>
  <si>
    <t>I1041</t>
  </si>
  <si>
    <t>ID Pegawai</t>
  </si>
  <si>
    <t>Nama Awal</t>
  </si>
  <si>
    <t>Nama Akhir</t>
  </si>
  <si>
    <t>Nama Lengkap</t>
  </si>
  <si>
    <t>Tanggal Lahir</t>
  </si>
  <si>
    <t>Batas Tanggal Usia</t>
  </si>
  <si>
    <t>Umur</t>
  </si>
  <si>
    <t>Departemen</t>
  </si>
  <si>
    <t>Lokasi</t>
  </si>
  <si>
    <t>Lantai</t>
  </si>
  <si>
    <t>Kota</t>
  </si>
  <si>
    <t>Nomor</t>
  </si>
  <si>
    <t>Gaji Pokok/Bulan</t>
  </si>
  <si>
    <t xml:space="preserve">Divisi : </t>
  </si>
  <si>
    <t>Bonus</t>
  </si>
  <si>
    <t>Di atas 35</t>
  </si>
  <si>
    <t>32 - 35</t>
  </si>
  <si>
    <t>28 - 31</t>
  </si>
  <si>
    <t>27 ke bawah</t>
  </si>
  <si>
    <t>Aurora Aurori</t>
  </si>
  <si>
    <t>Usada Pratiwi</t>
  </si>
  <si>
    <t>Cayadi Suwono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</si>
</sst>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6522-7965-4451-B7BC-2B6A22AF3ACA}">
  <dimension ref="A1:M1003"/>
  <sheetViews>
    <sheetView tabSelected="1" topLeftCell="A3" workbookViewId="0">
      <selection activeCell="B3" sqref="B3"/>
    </sheetView>
  </sheetViews>
  <sheetFormatPr defaultColWidth="14.42578125" defaultRowHeight="15" x14ac:dyDescent="0.25"/>
  <cols>
    <col min="1" max="4" width="8.7109375" customWidth="1"/>
    <col min="5" max="5" width="21.7109375" customWidth="1"/>
    <col min="6" max="6" width="17.28515625" bestFit="1" customWidth="1"/>
    <col min="7" max="7" width="10.7109375" bestFit="1" customWidth="1"/>
    <col min="8" max="8" width="13.140625" customWidth="1"/>
    <col min="9" max="9" width="21" customWidth="1"/>
    <col min="10" max="12" width="8.7109375" customWidth="1"/>
  </cols>
  <sheetData>
    <row r="1" spans="1:13" ht="26.25" x14ac:dyDescent="0.4">
      <c r="A1" s="3" t="s">
        <v>183</v>
      </c>
      <c r="F1" s="1" t="s">
        <v>191</v>
      </c>
      <c r="G1" s="4">
        <v>45732</v>
      </c>
    </row>
    <row r="3" spans="1:13" x14ac:dyDescent="0.25">
      <c r="A3" s="1" t="s">
        <v>186</v>
      </c>
      <c r="B3" s="1" t="s">
        <v>187</v>
      </c>
      <c r="C3" s="1" t="s">
        <v>188</v>
      </c>
      <c r="D3" s="1" t="s">
        <v>189</v>
      </c>
      <c r="E3" s="1" t="s">
        <v>0</v>
      </c>
      <c r="F3" s="1" t="s">
        <v>190</v>
      </c>
      <c r="G3" s="1" t="s">
        <v>192</v>
      </c>
      <c r="H3" s="1" t="s">
        <v>193</v>
      </c>
      <c r="I3" s="1" t="s">
        <v>194</v>
      </c>
      <c r="J3" s="1" t="s">
        <v>195</v>
      </c>
      <c r="K3" s="1" t="s">
        <v>196</v>
      </c>
      <c r="L3" s="1" t="s">
        <v>197</v>
      </c>
      <c r="M3" s="1" t="s">
        <v>200</v>
      </c>
    </row>
    <row r="4" spans="1:13" x14ac:dyDescent="0.25">
      <c r="A4" s="1" t="s">
        <v>1</v>
      </c>
      <c r="B4" s="1" t="s">
        <v>2</v>
      </c>
      <c r="C4" s="1" t="s">
        <v>3</v>
      </c>
      <c r="E4" s="1" t="s">
        <v>4</v>
      </c>
      <c r="F4" s="1">
        <v>35033</v>
      </c>
      <c r="H4" s="1" t="s">
        <v>5</v>
      </c>
      <c r="I4" s="1" t="s">
        <v>6</v>
      </c>
      <c r="J4" s="2" t="str">
        <f>MID(I4,FIND(" ",I4)+1,2)</f>
        <v>10</v>
      </c>
      <c r="K4" s="2" t="str">
        <f>LEFT(I4,FIND(" ",I4))</f>
        <v xml:space="preserve">Surabaya </v>
      </c>
      <c r="L4" s="2" t="str">
        <f>RIGHT(I4,3)</f>
        <v>827</v>
      </c>
    </row>
    <row r="5" spans="1:13" x14ac:dyDescent="0.25">
      <c r="A5" s="1" t="s">
        <v>7</v>
      </c>
      <c r="B5" s="1" t="s">
        <v>8</v>
      </c>
      <c r="C5" s="1" t="s">
        <v>9</v>
      </c>
      <c r="F5" s="1">
        <v>32430</v>
      </c>
      <c r="H5" s="1" t="s">
        <v>10</v>
      </c>
      <c r="I5" s="1" t="s">
        <v>11</v>
      </c>
    </row>
    <row r="6" spans="1:13" x14ac:dyDescent="0.25">
      <c r="A6" s="1" t="s">
        <v>12</v>
      </c>
      <c r="B6" s="1" t="s">
        <v>13</v>
      </c>
      <c r="C6" s="1" t="s">
        <v>14</v>
      </c>
      <c r="F6" s="1">
        <v>30151</v>
      </c>
      <c r="H6" s="1" t="s">
        <v>15</v>
      </c>
      <c r="I6" s="1" t="s">
        <v>16</v>
      </c>
    </row>
    <row r="7" spans="1:13" x14ac:dyDescent="0.25">
      <c r="A7" s="1" t="s">
        <v>17</v>
      </c>
      <c r="B7" s="1" t="s">
        <v>18</v>
      </c>
      <c r="C7" s="1" t="s">
        <v>3</v>
      </c>
      <c r="F7" s="1">
        <v>36545</v>
      </c>
      <c r="H7" s="1" t="s">
        <v>19</v>
      </c>
      <c r="I7" s="1" t="s">
        <v>20</v>
      </c>
    </row>
    <row r="8" spans="1:13" x14ac:dyDescent="0.25">
      <c r="A8" s="1" t="s">
        <v>21</v>
      </c>
      <c r="B8" s="1" t="s">
        <v>22</v>
      </c>
      <c r="C8" s="1" t="s">
        <v>23</v>
      </c>
      <c r="F8" s="1">
        <v>33691</v>
      </c>
      <c r="H8" s="1" t="s">
        <v>24</v>
      </c>
      <c r="I8" s="1" t="s">
        <v>25</v>
      </c>
    </row>
    <row r="9" spans="1:13" x14ac:dyDescent="0.25">
      <c r="A9" s="1" t="s">
        <v>26</v>
      </c>
      <c r="B9" s="1" t="s">
        <v>27</v>
      </c>
      <c r="C9" s="1" t="s">
        <v>28</v>
      </c>
      <c r="F9" s="1">
        <v>30076</v>
      </c>
      <c r="H9" s="1" t="s">
        <v>29</v>
      </c>
      <c r="I9" s="1" t="s">
        <v>30</v>
      </c>
    </row>
    <row r="10" spans="1:13" x14ac:dyDescent="0.25">
      <c r="A10" s="1" t="s">
        <v>184</v>
      </c>
      <c r="B10" s="1" t="s">
        <v>31</v>
      </c>
      <c r="C10" s="1" t="s">
        <v>32</v>
      </c>
      <c r="F10" s="1">
        <v>36166</v>
      </c>
      <c r="H10" s="1" t="s">
        <v>5</v>
      </c>
      <c r="I10" s="1" t="s">
        <v>33</v>
      </c>
    </row>
    <row r="11" spans="1:13" x14ac:dyDescent="0.25">
      <c r="A11" s="1" t="s">
        <v>34</v>
      </c>
      <c r="B11" s="1" t="s">
        <v>35</v>
      </c>
      <c r="C11" s="1" t="s">
        <v>36</v>
      </c>
      <c r="F11" s="1">
        <v>31959</v>
      </c>
      <c r="H11" s="1" t="s">
        <v>24</v>
      </c>
      <c r="I11" s="1" t="s">
        <v>37</v>
      </c>
    </row>
    <row r="12" spans="1:13" x14ac:dyDescent="0.25">
      <c r="A12" s="1" t="s">
        <v>38</v>
      </c>
      <c r="B12" s="1" t="s">
        <v>205</v>
      </c>
      <c r="C12" s="1" t="s">
        <v>9</v>
      </c>
      <c r="F12" s="1">
        <v>36535</v>
      </c>
      <c r="H12" s="1" t="s">
        <v>39</v>
      </c>
      <c r="I12" s="1" t="s">
        <v>40</v>
      </c>
    </row>
    <row r="13" spans="1:13" x14ac:dyDescent="0.25">
      <c r="A13" s="1" t="s">
        <v>41</v>
      </c>
      <c r="B13" s="1" t="s">
        <v>42</v>
      </c>
      <c r="C13" s="1" t="s">
        <v>43</v>
      </c>
      <c r="F13" s="1">
        <v>34393</v>
      </c>
      <c r="H13" s="1" t="s">
        <v>24</v>
      </c>
      <c r="I13" s="1" t="s">
        <v>44</v>
      </c>
    </row>
    <row r="14" spans="1:13" x14ac:dyDescent="0.25">
      <c r="A14" s="1" t="s">
        <v>45</v>
      </c>
      <c r="B14" s="1" t="s">
        <v>46</v>
      </c>
      <c r="C14" s="1" t="s">
        <v>47</v>
      </c>
      <c r="F14" s="1">
        <v>32265</v>
      </c>
      <c r="H14" s="1" t="s">
        <v>10</v>
      </c>
      <c r="I14" s="1" t="s">
        <v>48</v>
      </c>
    </row>
    <row r="15" spans="1:13" ht="15.75" customHeight="1" x14ac:dyDescent="0.25">
      <c r="A15" s="1" t="s">
        <v>141</v>
      </c>
      <c r="B15" s="1" t="s">
        <v>142</v>
      </c>
      <c r="C15" s="1" t="s">
        <v>143</v>
      </c>
      <c r="F15" s="1">
        <v>35830</v>
      </c>
      <c r="H15" s="1" t="s">
        <v>131</v>
      </c>
      <c r="I15" s="1" t="s">
        <v>144</v>
      </c>
    </row>
    <row r="16" spans="1:13" x14ac:dyDescent="0.25">
      <c r="A16" s="1" t="s">
        <v>49</v>
      </c>
      <c r="B16" s="1" t="s">
        <v>50</v>
      </c>
      <c r="C16" s="1" t="s">
        <v>51</v>
      </c>
      <c r="F16" s="1">
        <v>29727</v>
      </c>
      <c r="H16" s="1" t="s">
        <v>52</v>
      </c>
      <c r="I16" s="1" t="s">
        <v>53</v>
      </c>
    </row>
    <row r="17" spans="1:9" x14ac:dyDescent="0.25">
      <c r="A17" s="1" t="s">
        <v>54</v>
      </c>
      <c r="B17" s="1" t="s">
        <v>55</v>
      </c>
      <c r="C17" s="1" t="s">
        <v>56</v>
      </c>
      <c r="F17" s="1">
        <v>35257</v>
      </c>
      <c r="H17" s="1" t="s">
        <v>57</v>
      </c>
      <c r="I17" s="1" t="s">
        <v>58</v>
      </c>
    </row>
    <row r="18" spans="1:9" x14ac:dyDescent="0.25">
      <c r="A18" s="1" t="s">
        <v>59</v>
      </c>
      <c r="B18" s="1" t="s">
        <v>60</v>
      </c>
      <c r="C18" s="1" t="s">
        <v>61</v>
      </c>
      <c r="F18" s="1">
        <v>33426</v>
      </c>
      <c r="H18" s="1" t="s">
        <v>62</v>
      </c>
      <c r="I18" s="1" t="s">
        <v>63</v>
      </c>
    </row>
    <row r="19" spans="1:9" x14ac:dyDescent="0.25">
      <c r="A19" s="1" t="s">
        <v>64</v>
      </c>
      <c r="B19" s="1" t="s">
        <v>65</v>
      </c>
      <c r="C19" s="1" t="s">
        <v>66</v>
      </c>
      <c r="F19" s="1">
        <v>36102</v>
      </c>
      <c r="H19" s="1" t="s">
        <v>52</v>
      </c>
      <c r="I19" s="1" t="s">
        <v>67</v>
      </c>
    </row>
    <row r="20" spans="1:9" x14ac:dyDescent="0.25">
      <c r="A20" s="1" t="s">
        <v>68</v>
      </c>
      <c r="B20" s="1" t="s">
        <v>69</v>
      </c>
      <c r="C20" s="1" t="s">
        <v>70</v>
      </c>
      <c r="F20" s="1">
        <v>32506</v>
      </c>
      <c r="H20" s="1" t="s">
        <v>57</v>
      </c>
      <c r="I20" s="1" t="s">
        <v>71</v>
      </c>
    </row>
    <row r="21" spans="1:9" x14ac:dyDescent="0.25">
      <c r="A21" s="1" t="s">
        <v>26</v>
      </c>
      <c r="B21" s="1" t="s">
        <v>27</v>
      </c>
      <c r="C21" s="1" t="s">
        <v>28</v>
      </c>
      <c r="F21" s="1">
        <v>30076</v>
      </c>
      <c r="H21" s="1" t="s">
        <v>29</v>
      </c>
      <c r="I21" s="1" t="s">
        <v>30</v>
      </c>
    </row>
    <row r="22" spans="1:9" x14ac:dyDescent="0.25">
      <c r="A22" s="1" t="s">
        <v>72</v>
      </c>
      <c r="B22" s="1" t="s">
        <v>73</v>
      </c>
      <c r="C22" s="1" t="s">
        <v>74</v>
      </c>
      <c r="F22" s="1">
        <v>35494</v>
      </c>
      <c r="H22" s="1" t="s">
        <v>75</v>
      </c>
      <c r="I22" s="1" t="s">
        <v>76</v>
      </c>
    </row>
    <row r="23" spans="1:9" ht="15.75" customHeight="1" x14ac:dyDescent="0.25">
      <c r="A23" s="1" t="s">
        <v>77</v>
      </c>
      <c r="B23" s="1" t="s">
        <v>78</v>
      </c>
      <c r="C23" s="1" t="s">
        <v>79</v>
      </c>
      <c r="F23" s="1">
        <v>35216</v>
      </c>
      <c r="H23" s="1" t="s">
        <v>29</v>
      </c>
      <c r="I23" s="1" t="s">
        <v>80</v>
      </c>
    </row>
    <row r="24" spans="1:9" ht="15.75" customHeight="1" x14ac:dyDescent="0.25">
      <c r="A24" s="1" t="s">
        <v>81</v>
      </c>
      <c r="B24" s="1" t="s">
        <v>82</v>
      </c>
      <c r="C24" s="1" t="s">
        <v>83</v>
      </c>
      <c r="F24" s="1">
        <v>32098</v>
      </c>
      <c r="H24" s="1" t="s">
        <v>52</v>
      </c>
      <c r="I24" s="1" t="s">
        <v>84</v>
      </c>
    </row>
    <row r="25" spans="1:9" ht="15.75" customHeight="1" x14ac:dyDescent="0.25">
      <c r="A25" s="1" t="s">
        <v>85</v>
      </c>
      <c r="B25" s="1" t="s">
        <v>86</v>
      </c>
      <c r="C25" s="1" t="s">
        <v>87</v>
      </c>
      <c r="F25" s="1">
        <v>34663</v>
      </c>
      <c r="H25" s="1" t="s">
        <v>10</v>
      </c>
      <c r="I25" s="1" t="s">
        <v>88</v>
      </c>
    </row>
    <row r="26" spans="1:9" ht="15.75" customHeight="1" x14ac:dyDescent="0.25">
      <c r="A26" s="1" t="s">
        <v>89</v>
      </c>
      <c r="B26" s="1" t="s">
        <v>90</v>
      </c>
      <c r="C26" s="1" t="s">
        <v>91</v>
      </c>
      <c r="F26" s="1">
        <v>33510</v>
      </c>
      <c r="H26" s="1" t="s">
        <v>52</v>
      </c>
      <c r="I26" s="1" t="s">
        <v>92</v>
      </c>
    </row>
    <row r="27" spans="1:9" ht="15.75" customHeight="1" x14ac:dyDescent="0.25">
      <c r="A27" s="1" t="s">
        <v>93</v>
      </c>
      <c r="B27" s="1" t="s">
        <v>207</v>
      </c>
      <c r="C27" s="1" t="s">
        <v>94</v>
      </c>
      <c r="F27" s="1">
        <v>37116</v>
      </c>
      <c r="H27" s="1" t="s">
        <v>57</v>
      </c>
      <c r="I27" s="1" t="s">
        <v>95</v>
      </c>
    </row>
    <row r="28" spans="1:9" ht="15.75" customHeight="1" x14ac:dyDescent="0.25">
      <c r="A28" s="1" t="s">
        <v>96</v>
      </c>
      <c r="B28" s="1" t="s">
        <v>97</v>
      </c>
      <c r="C28" s="1" t="s">
        <v>56</v>
      </c>
      <c r="F28" s="1">
        <v>31008</v>
      </c>
      <c r="H28" s="1" t="s">
        <v>10</v>
      </c>
      <c r="I28" s="1" t="s">
        <v>98</v>
      </c>
    </row>
    <row r="29" spans="1:9" ht="15.75" customHeight="1" x14ac:dyDescent="0.25">
      <c r="A29" s="1" t="s">
        <v>99</v>
      </c>
      <c r="B29" s="1" t="s">
        <v>100</v>
      </c>
      <c r="C29" s="1" t="s">
        <v>101</v>
      </c>
      <c r="F29" s="1">
        <v>34629</v>
      </c>
      <c r="H29" s="1" t="s">
        <v>102</v>
      </c>
      <c r="I29" s="1" t="s">
        <v>103</v>
      </c>
    </row>
    <row r="30" spans="1:9" ht="15.75" customHeight="1" x14ac:dyDescent="0.25">
      <c r="A30" s="1" t="s">
        <v>104</v>
      </c>
      <c r="B30" s="1" t="s">
        <v>105</v>
      </c>
      <c r="C30" s="1" t="s">
        <v>106</v>
      </c>
      <c r="F30" s="1">
        <v>29685</v>
      </c>
      <c r="H30" s="1" t="s">
        <v>57</v>
      </c>
      <c r="I30" s="1" t="s">
        <v>107</v>
      </c>
    </row>
    <row r="31" spans="1:9" ht="15.75" customHeight="1" x14ac:dyDescent="0.25">
      <c r="A31" s="1" t="s">
        <v>108</v>
      </c>
      <c r="B31" s="1" t="s">
        <v>109</v>
      </c>
      <c r="C31" s="1" t="s">
        <v>110</v>
      </c>
      <c r="F31" s="1">
        <v>33167</v>
      </c>
      <c r="H31" s="1" t="s">
        <v>24</v>
      </c>
      <c r="I31" s="1" t="s">
        <v>111</v>
      </c>
    </row>
    <row r="32" spans="1:9" ht="15.75" customHeight="1" x14ac:dyDescent="0.25">
      <c r="A32" s="1" t="s">
        <v>112</v>
      </c>
      <c r="B32" s="1" t="s">
        <v>113</v>
      </c>
      <c r="C32" s="1" t="s">
        <v>114</v>
      </c>
      <c r="F32" s="1">
        <v>35937</v>
      </c>
      <c r="H32" s="1" t="s">
        <v>10</v>
      </c>
      <c r="I32" s="1" t="s">
        <v>115</v>
      </c>
    </row>
    <row r="33" spans="1:9" ht="15.75" customHeight="1" x14ac:dyDescent="0.25">
      <c r="A33" s="1" t="s">
        <v>116</v>
      </c>
      <c r="B33" s="1" t="s">
        <v>117</v>
      </c>
      <c r="C33" s="1" t="s">
        <v>118</v>
      </c>
      <c r="F33" s="1">
        <v>36475</v>
      </c>
      <c r="H33" s="1" t="s">
        <v>10</v>
      </c>
      <c r="I33" s="1" t="s">
        <v>119</v>
      </c>
    </row>
    <row r="34" spans="1:9" ht="15.75" customHeight="1" x14ac:dyDescent="0.25">
      <c r="A34" s="1" t="s">
        <v>89</v>
      </c>
      <c r="B34" s="1" t="s">
        <v>90</v>
      </c>
      <c r="C34" s="1" t="s">
        <v>91</v>
      </c>
      <c r="F34" s="1">
        <v>33510</v>
      </c>
      <c r="H34" s="1" t="s">
        <v>52</v>
      </c>
      <c r="I34" s="1" t="s">
        <v>92</v>
      </c>
    </row>
    <row r="35" spans="1:9" ht="15.75" customHeight="1" x14ac:dyDescent="0.25">
      <c r="A35" s="1" t="s">
        <v>120</v>
      </c>
      <c r="B35" s="1" t="s">
        <v>121</v>
      </c>
      <c r="C35" s="1" t="s">
        <v>122</v>
      </c>
      <c r="F35" s="1">
        <v>36742</v>
      </c>
      <c r="H35" s="1" t="s">
        <v>75</v>
      </c>
      <c r="I35" s="1" t="s">
        <v>123</v>
      </c>
    </row>
    <row r="36" spans="1:9" ht="15.75" customHeight="1" x14ac:dyDescent="0.25">
      <c r="A36" s="1" t="s">
        <v>124</v>
      </c>
      <c r="B36" s="1" t="s">
        <v>125</v>
      </c>
      <c r="C36" s="1" t="s">
        <v>206</v>
      </c>
      <c r="F36" s="1">
        <v>35831</v>
      </c>
      <c r="H36" s="1" t="s">
        <v>126</v>
      </c>
      <c r="I36" s="1" t="s">
        <v>127</v>
      </c>
    </row>
    <row r="37" spans="1:9" ht="15.75" customHeight="1" x14ac:dyDescent="0.25">
      <c r="A37" s="1" t="s">
        <v>128</v>
      </c>
      <c r="B37" s="1" t="s">
        <v>129</v>
      </c>
      <c r="C37" s="1" t="s">
        <v>130</v>
      </c>
      <c r="F37" s="1">
        <v>35800</v>
      </c>
      <c r="H37" s="1" t="s">
        <v>131</v>
      </c>
      <c r="I37" s="1" t="s">
        <v>132</v>
      </c>
    </row>
    <row r="38" spans="1:9" ht="15.75" customHeight="1" x14ac:dyDescent="0.25">
      <c r="A38" s="1" t="s">
        <v>133</v>
      </c>
      <c r="B38" s="1" t="s">
        <v>134</v>
      </c>
      <c r="C38" s="1" t="s">
        <v>135</v>
      </c>
      <c r="F38" s="1">
        <v>35810</v>
      </c>
      <c r="H38" s="1" t="s">
        <v>131</v>
      </c>
      <c r="I38" s="1" t="s">
        <v>136</v>
      </c>
    </row>
    <row r="39" spans="1:9" ht="15.75" customHeight="1" x14ac:dyDescent="0.25">
      <c r="A39" s="1" t="s">
        <v>137</v>
      </c>
      <c r="B39" s="1" t="s">
        <v>138</v>
      </c>
      <c r="C39" s="1" t="s">
        <v>139</v>
      </c>
      <c r="F39" s="1">
        <v>35820</v>
      </c>
      <c r="H39" s="1" t="s">
        <v>131</v>
      </c>
      <c r="I39" s="1" t="s">
        <v>140</v>
      </c>
    </row>
    <row r="40" spans="1:9" ht="15.75" customHeight="1" x14ac:dyDescent="0.25">
      <c r="A40" s="1" t="s">
        <v>141</v>
      </c>
      <c r="B40" s="1" t="s">
        <v>142</v>
      </c>
      <c r="C40" s="1" t="s">
        <v>143</v>
      </c>
      <c r="F40" s="1">
        <v>35830</v>
      </c>
      <c r="H40" s="1" t="s">
        <v>131</v>
      </c>
      <c r="I40" s="1" t="s">
        <v>144</v>
      </c>
    </row>
    <row r="41" spans="1:9" ht="15.75" customHeight="1" x14ac:dyDescent="0.25">
      <c r="A41" s="1" t="s">
        <v>145</v>
      </c>
      <c r="B41" s="1" t="s">
        <v>146</v>
      </c>
      <c r="C41" s="1" t="s">
        <v>147</v>
      </c>
      <c r="F41" s="1">
        <v>35840</v>
      </c>
      <c r="H41" s="1" t="s">
        <v>131</v>
      </c>
      <c r="I41" s="1" t="s">
        <v>148</v>
      </c>
    </row>
    <row r="42" spans="1:9" ht="15.75" customHeight="1" x14ac:dyDescent="0.25">
      <c r="A42" s="1" t="s">
        <v>149</v>
      </c>
      <c r="B42" s="1" t="s">
        <v>150</v>
      </c>
      <c r="C42" s="1" t="s">
        <v>151</v>
      </c>
      <c r="F42" s="1">
        <v>35850</v>
      </c>
      <c r="H42" s="1" t="s">
        <v>131</v>
      </c>
      <c r="I42" s="1" t="s">
        <v>152</v>
      </c>
    </row>
    <row r="43" spans="1:9" ht="15.75" customHeight="1" x14ac:dyDescent="0.25">
      <c r="A43" s="1" t="s">
        <v>153</v>
      </c>
      <c r="B43" s="1" t="s">
        <v>154</v>
      </c>
      <c r="C43" s="1" t="s">
        <v>155</v>
      </c>
      <c r="F43" s="1">
        <v>35860</v>
      </c>
      <c r="H43" s="1" t="s">
        <v>131</v>
      </c>
      <c r="I43" s="1" t="s">
        <v>156</v>
      </c>
    </row>
    <row r="44" spans="1:9" ht="15.75" customHeight="1" x14ac:dyDescent="0.25">
      <c r="A44" s="1" t="s">
        <v>157</v>
      </c>
      <c r="B44" s="1" t="s">
        <v>158</v>
      </c>
      <c r="C44" s="1" t="s">
        <v>159</v>
      </c>
      <c r="F44" s="1">
        <v>35870</v>
      </c>
      <c r="H44" s="1" t="s">
        <v>131</v>
      </c>
      <c r="I44" s="1" t="s">
        <v>160</v>
      </c>
    </row>
    <row r="45" spans="1:9" ht="15.75" customHeight="1" x14ac:dyDescent="0.25">
      <c r="A45" s="1" t="s">
        <v>161</v>
      </c>
      <c r="B45" s="1" t="s">
        <v>162</v>
      </c>
      <c r="C45" s="1" t="s">
        <v>163</v>
      </c>
      <c r="F45" s="1">
        <v>35880</v>
      </c>
      <c r="H45" s="1" t="s">
        <v>131</v>
      </c>
      <c r="I45" s="1" t="s">
        <v>164</v>
      </c>
    </row>
    <row r="46" spans="1:9" ht="15.75" customHeight="1" x14ac:dyDescent="0.25">
      <c r="A46" s="1" t="s">
        <v>165</v>
      </c>
      <c r="B46" s="1" t="s">
        <v>166</v>
      </c>
      <c r="C46" s="1" t="s">
        <v>167</v>
      </c>
      <c r="F46" s="1">
        <v>35890</v>
      </c>
      <c r="H46" s="1" t="s">
        <v>131</v>
      </c>
      <c r="I46" s="1" t="s">
        <v>168</v>
      </c>
    </row>
    <row r="47" spans="1:9" ht="15.75" customHeight="1" x14ac:dyDescent="0.25">
      <c r="A47" s="1" t="s">
        <v>169</v>
      </c>
      <c r="B47" s="1" t="s">
        <v>170</v>
      </c>
      <c r="C47" s="1" t="s">
        <v>171</v>
      </c>
      <c r="F47" s="1">
        <v>35900</v>
      </c>
      <c r="H47" s="1" t="s">
        <v>131</v>
      </c>
      <c r="I47" s="1" t="s">
        <v>172</v>
      </c>
    </row>
    <row r="48" spans="1:9" ht="15.75" customHeight="1" x14ac:dyDescent="0.25">
      <c r="A48" s="1" t="s">
        <v>173</v>
      </c>
      <c r="B48" s="1" t="s">
        <v>174</v>
      </c>
      <c r="C48" s="1" t="s">
        <v>175</v>
      </c>
      <c r="F48" s="1">
        <v>35910</v>
      </c>
      <c r="H48" s="1" t="s">
        <v>131</v>
      </c>
      <c r="I48" s="1" t="s">
        <v>176</v>
      </c>
    </row>
    <row r="49" spans="1:9" ht="15.75" customHeight="1" x14ac:dyDescent="0.25">
      <c r="A49" s="1" t="s">
        <v>177</v>
      </c>
      <c r="B49" s="1" t="s">
        <v>178</v>
      </c>
      <c r="C49" s="1" t="s">
        <v>179</v>
      </c>
      <c r="F49" s="1">
        <v>35920</v>
      </c>
      <c r="H49" s="1" t="s">
        <v>131</v>
      </c>
      <c r="I49" s="1" t="s">
        <v>180</v>
      </c>
    </row>
    <row r="50" spans="1:9" ht="15.75" customHeight="1" x14ac:dyDescent="0.25">
      <c r="A50" s="1" t="s">
        <v>185</v>
      </c>
      <c r="B50" s="1" t="s">
        <v>35</v>
      </c>
      <c r="C50" s="1" t="s">
        <v>181</v>
      </c>
      <c r="F50" s="1">
        <v>35930</v>
      </c>
      <c r="H50" s="1" t="s">
        <v>131</v>
      </c>
      <c r="I50" s="1" t="s">
        <v>182</v>
      </c>
    </row>
    <row r="51" spans="1:9" ht="15.75" customHeight="1" x14ac:dyDescent="0.25"/>
    <row r="52" spans="1:9" ht="15.75" customHeight="1" x14ac:dyDescent="0.25"/>
    <row r="53" spans="1:9" ht="15.75" customHeight="1" x14ac:dyDescent="0.25"/>
    <row r="54" spans="1:9" ht="15.75" customHeight="1" x14ac:dyDescent="0.25"/>
    <row r="55" spans="1:9" ht="15.75" customHeight="1" x14ac:dyDescent="0.25"/>
    <row r="56" spans="1:9" ht="15.75" customHeight="1" x14ac:dyDescent="0.25"/>
    <row r="57" spans="1:9" ht="15.75" customHeight="1" x14ac:dyDescent="0.25"/>
    <row r="58" spans="1:9" ht="15.75" customHeight="1" x14ac:dyDescent="0.25"/>
    <row r="59" spans="1:9" ht="15.75" customHeight="1" x14ac:dyDescent="0.25"/>
    <row r="60" spans="1:9" ht="15.75" customHeight="1" x14ac:dyDescent="0.25"/>
    <row r="61" spans="1:9" ht="15.75" customHeight="1" x14ac:dyDescent="0.25"/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C3E3-DF6C-491D-955A-F002B4489A25}">
  <dimension ref="B3:D16"/>
  <sheetViews>
    <sheetView workbookViewId="0">
      <selection activeCell="F9" sqref="F9"/>
    </sheetView>
  </sheetViews>
  <sheetFormatPr defaultRowHeight="15" x14ac:dyDescent="0.25"/>
  <cols>
    <col min="1" max="2" width="2" bestFit="1" customWidth="1"/>
    <col min="3" max="3" width="20.28515625" bestFit="1" customWidth="1"/>
    <col min="4" max="4" width="16.28515625" bestFit="1" customWidth="1"/>
  </cols>
  <sheetData>
    <row r="3" spans="2:4" x14ac:dyDescent="0.25">
      <c r="B3">
        <v>1</v>
      </c>
      <c r="C3" s="5" t="s">
        <v>192</v>
      </c>
      <c r="D3" s="6" t="s">
        <v>198</v>
      </c>
    </row>
    <row r="4" spans="2:4" x14ac:dyDescent="0.25">
      <c r="C4" t="s">
        <v>201</v>
      </c>
      <c r="D4" s="7">
        <v>18000000</v>
      </c>
    </row>
    <row r="5" spans="2:4" x14ac:dyDescent="0.25">
      <c r="C5" t="s">
        <v>202</v>
      </c>
      <c r="D5" s="7">
        <v>13000000</v>
      </c>
    </row>
    <row r="6" spans="2:4" x14ac:dyDescent="0.25">
      <c r="C6" t="s">
        <v>203</v>
      </c>
      <c r="D6" s="7">
        <v>9000000</v>
      </c>
    </row>
    <row r="7" spans="2:4" x14ac:dyDescent="0.25">
      <c r="C7" t="s">
        <v>204</v>
      </c>
      <c r="D7" s="7">
        <v>6800000</v>
      </c>
    </row>
    <row r="8" spans="2:4" x14ac:dyDescent="0.25">
      <c r="D8" s="7"/>
    </row>
    <row r="9" spans="2:4" x14ac:dyDescent="0.25">
      <c r="B9">
        <v>2</v>
      </c>
      <c r="C9" t="s">
        <v>199</v>
      </c>
      <c r="D9" s="7"/>
    </row>
    <row r="10" spans="2:4" x14ac:dyDescent="0.25">
      <c r="C10" t="s">
        <v>5</v>
      </c>
    </row>
    <row r="11" spans="2:4" x14ac:dyDescent="0.25">
      <c r="C11" t="s">
        <v>10</v>
      </c>
    </row>
    <row r="12" spans="2:4" x14ac:dyDescent="0.25">
      <c r="C12" t="s">
        <v>102</v>
      </c>
    </row>
    <row r="13" spans="2:4" x14ac:dyDescent="0.25">
      <c r="C13" t="s">
        <v>57</v>
      </c>
    </row>
    <row r="14" spans="2:4" x14ac:dyDescent="0.25">
      <c r="C14" t="s">
        <v>131</v>
      </c>
    </row>
    <row r="15" spans="2:4" x14ac:dyDescent="0.25">
      <c r="C15" t="s">
        <v>29</v>
      </c>
    </row>
    <row r="16" spans="2:4" x14ac:dyDescent="0.25">
      <c r="C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Afdhal Putra</dc:creator>
  <cp:lastModifiedBy>Afdhal Putra</cp:lastModifiedBy>
  <dcterms:created xsi:type="dcterms:W3CDTF">2025-04-11T09:00:32Z</dcterms:created>
  <dcterms:modified xsi:type="dcterms:W3CDTF">2025-05-15T12:51:43Z</dcterms:modified>
</cp:coreProperties>
</file>